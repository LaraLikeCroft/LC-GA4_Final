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3daf1ad40c5e5b7/Likecroft Analytics/LaunchCode/Final/"/>
    </mc:Choice>
  </mc:AlternateContent>
  <xr:revisionPtr revIDLastSave="800" documentId="8_{1937C1CC-681C-4F90-8297-67B506ADB63A}" xr6:coauthVersionLast="47" xr6:coauthVersionMax="47" xr10:uidLastSave="{992512E9-8A30-41B0-8D13-20A241EC4632}"/>
  <bookViews>
    <workbookView xWindow="-120" yWindow="-120" windowWidth="29040" windowHeight="15840" xr2:uid="{DD60B022-CD68-4508-8AA6-1A3E30EEFA5D}"/>
  </bookViews>
  <sheets>
    <sheet name="ingredientsDataset" sheetId="2" r:id="rId1"/>
    <sheet name="fishDataset" sheetId="6" r:id="rId2"/>
    <sheet name="recipesDataset" sheetId="3" r:id="rId3"/>
  </sheets>
  <definedNames>
    <definedName name="_xlnm._FilterDatabase" localSheetId="1" hidden="1">fishDataset!$A$1:$E$28</definedName>
    <definedName name="_xlnm._FilterDatabase" localSheetId="0" hidden="1">ingredientsDataset!$A$1:$N$76</definedName>
    <definedName name="_xlnm._FilterDatabase" localSheetId="2" hidden="1">recipesDataset!$A$1:$H$188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" l="1"/>
  <c r="N25" i="2"/>
  <c r="N55" i="2"/>
  <c r="N71" i="2"/>
  <c r="N12" i="2"/>
  <c r="N41" i="2"/>
  <c r="N42" i="2"/>
  <c r="N32" i="2"/>
  <c r="N56" i="2"/>
  <c r="N47" i="2"/>
  <c r="N48" i="2"/>
  <c r="N26" i="2"/>
  <c r="N33" i="2"/>
  <c r="N34" i="2"/>
  <c r="N49" i="2"/>
  <c r="N13" i="2"/>
  <c r="N72" i="2"/>
  <c r="N5" i="2"/>
  <c r="N6" i="2"/>
  <c r="N7" i="2"/>
  <c r="N9" i="2"/>
  <c r="N10" i="2"/>
  <c r="N11" i="2"/>
  <c r="N24" i="2"/>
  <c r="N53" i="2"/>
  <c r="N54" i="2"/>
  <c r="N70" i="2"/>
  <c r="N50" i="2"/>
  <c r="N57" i="2"/>
  <c r="N63" i="2"/>
  <c r="N27" i="2"/>
  <c r="N64" i="2"/>
  <c r="N65" i="2"/>
  <c r="N66" i="2"/>
  <c r="N67" i="2"/>
  <c r="N73" i="2"/>
  <c r="N58" i="2"/>
  <c r="N28" i="2"/>
  <c r="N35" i="2"/>
  <c r="N43" i="2"/>
  <c r="N68" i="2"/>
  <c r="N8" i="2"/>
  <c r="N14" i="2"/>
  <c r="N74" i="2"/>
  <c r="N69" i="2"/>
  <c r="N15" i="2"/>
  <c r="N16" i="2"/>
  <c r="N17" i="2"/>
  <c r="N36" i="2"/>
  <c r="N62" i="2"/>
  <c r="N59" i="2"/>
  <c r="N30" i="2"/>
  <c r="N60" i="2"/>
  <c r="N22" i="2"/>
  <c r="N44" i="2"/>
  <c r="N18" i="2"/>
  <c r="N23" i="2"/>
  <c r="N19" i="2"/>
  <c r="N37" i="2"/>
  <c r="N51" i="2"/>
  <c r="N31" i="2"/>
  <c r="N29" i="2"/>
  <c r="N61" i="2"/>
  <c r="N46" i="2"/>
  <c r="N20" i="2"/>
  <c r="N38" i="2"/>
  <c r="N52" i="2"/>
  <c r="N21" i="2"/>
  <c r="N76" i="2"/>
  <c r="N39" i="2"/>
  <c r="N75" i="2"/>
  <c r="N45" i="2"/>
  <c r="N40" i="2"/>
  <c r="M25" i="2"/>
  <c r="M55" i="2"/>
  <c r="M71" i="2"/>
  <c r="M12" i="2"/>
  <c r="M41" i="2"/>
  <c r="M42" i="2"/>
  <c r="M32" i="2"/>
  <c r="M56" i="2"/>
  <c r="M47" i="2"/>
  <c r="M48" i="2"/>
  <c r="M26" i="2"/>
  <c r="M33" i="2"/>
  <c r="M34" i="2"/>
  <c r="M49" i="2"/>
  <c r="M13" i="2"/>
  <c r="M72" i="2"/>
  <c r="M5" i="2"/>
  <c r="M6" i="2"/>
  <c r="M7" i="2"/>
  <c r="M9" i="2"/>
  <c r="M10" i="2"/>
  <c r="M11" i="2"/>
  <c r="M24" i="2"/>
  <c r="M53" i="2"/>
  <c r="M54" i="2"/>
  <c r="M70" i="2"/>
  <c r="M50" i="2"/>
  <c r="M57" i="2"/>
  <c r="M63" i="2"/>
  <c r="M27" i="2"/>
  <c r="M64" i="2"/>
  <c r="M65" i="2"/>
  <c r="M66" i="2"/>
  <c r="M67" i="2"/>
  <c r="M73" i="2"/>
  <c r="M58" i="2"/>
  <c r="M28" i="2"/>
  <c r="M35" i="2"/>
  <c r="M43" i="2"/>
  <c r="M68" i="2"/>
  <c r="M8" i="2"/>
  <c r="M14" i="2"/>
  <c r="M74" i="2"/>
  <c r="M69" i="2"/>
  <c r="M15" i="2"/>
  <c r="M16" i="2"/>
  <c r="M17" i="2"/>
  <c r="M36" i="2"/>
  <c r="M62" i="2"/>
  <c r="M59" i="2"/>
  <c r="M30" i="2"/>
  <c r="M60" i="2"/>
  <c r="M22" i="2"/>
  <c r="M44" i="2"/>
  <c r="M18" i="2"/>
  <c r="M23" i="2"/>
  <c r="M19" i="2"/>
  <c r="M37" i="2"/>
  <c r="M51" i="2"/>
  <c r="M31" i="2"/>
  <c r="M29" i="2"/>
  <c r="M61" i="2"/>
  <c r="M46" i="2"/>
  <c r="M20" i="2"/>
  <c r="M38" i="2"/>
  <c r="M52" i="2"/>
  <c r="M21" i="2"/>
  <c r="M76" i="2"/>
  <c r="M39" i="2"/>
  <c r="M75" i="2"/>
  <c r="M45" i="2"/>
  <c r="M40" i="2"/>
  <c r="L25" i="2"/>
  <c r="L55" i="2"/>
  <c r="L71" i="2"/>
  <c r="L12" i="2"/>
  <c r="L41" i="2"/>
  <c r="L42" i="2"/>
  <c r="L32" i="2"/>
  <c r="L56" i="2"/>
  <c r="L47" i="2"/>
  <c r="L48" i="2"/>
  <c r="L26" i="2"/>
  <c r="L33" i="2"/>
  <c r="L34" i="2"/>
  <c r="L49" i="2"/>
  <c r="L13" i="2"/>
  <c r="L72" i="2"/>
  <c r="L5" i="2"/>
  <c r="L6" i="2"/>
  <c r="L7" i="2"/>
  <c r="L9" i="2"/>
  <c r="L10" i="2"/>
  <c r="L11" i="2"/>
  <c r="L24" i="2"/>
  <c r="L53" i="2"/>
  <c r="L54" i="2"/>
  <c r="L70" i="2"/>
  <c r="L50" i="2"/>
  <c r="L57" i="2"/>
  <c r="L63" i="2"/>
  <c r="L27" i="2"/>
  <c r="L64" i="2"/>
  <c r="L65" i="2"/>
  <c r="L66" i="2"/>
  <c r="L67" i="2"/>
  <c r="L73" i="2"/>
  <c r="L58" i="2"/>
  <c r="L28" i="2"/>
  <c r="L35" i="2"/>
  <c r="L43" i="2"/>
  <c r="L68" i="2"/>
  <c r="L8" i="2"/>
  <c r="L14" i="2"/>
  <c r="L74" i="2"/>
  <c r="L69" i="2"/>
  <c r="L15" i="2"/>
  <c r="L16" i="2"/>
  <c r="L17" i="2"/>
  <c r="L36" i="2"/>
  <c r="L62" i="2"/>
  <c r="L59" i="2"/>
  <c r="L30" i="2"/>
  <c r="L60" i="2"/>
  <c r="L22" i="2"/>
  <c r="L44" i="2"/>
  <c r="L18" i="2"/>
  <c r="L23" i="2"/>
  <c r="L19" i="2"/>
  <c r="L37" i="2"/>
  <c r="L51" i="2"/>
  <c r="L31" i="2"/>
  <c r="L29" i="2"/>
  <c r="L61" i="2"/>
  <c r="L46" i="2"/>
  <c r="L20" i="2"/>
  <c r="L38" i="2"/>
  <c r="L52" i="2"/>
  <c r="L21" i="2"/>
  <c r="L76" i="2"/>
  <c r="L39" i="2"/>
  <c r="L75" i="2"/>
  <c r="L45" i="2"/>
  <c r="L40" i="2"/>
  <c r="K25" i="2"/>
  <c r="K55" i="2"/>
  <c r="K71" i="2"/>
  <c r="K12" i="2"/>
  <c r="K41" i="2"/>
  <c r="K42" i="2"/>
  <c r="K32" i="2"/>
  <c r="K56" i="2"/>
  <c r="K47" i="2"/>
  <c r="K48" i="2"/>
  <c r="K26" i="2"/>
  <c r="K33" i="2"/>
  <c r="K34" i="2"/>
  <c r="K49" i="2"/>
  <c r="K13" i="2"/>
  <c r="K72" i="2"/>
  <c r="K5" i="2"/>
  <c r="K6" i="2"/>
  <c r="K7" i="2"/>
  <c r="K9" i="2"/>
  <c r="K10" i="2"/>
  <c r="K11" i="2"/>
  <c r="K24" i="2"/>
  <c r="K53" i="2"/>
  <c r="K54" i="2"/>
  <c r="K70" i="2"/>
  <c r="K50" i="2"/>
  <c r="K57" i="2"/>
  <c r="K63" i="2"/>
  <c r="K27" i="2"/>
  <c r="K64" i="2"/>
  <c r="K65" i="2"/>
  <c r="K66" i="2"/>
  <c r="K67" i="2"/>
  <c r="K73" i="2"/>
  <c r="K58" i="2"/>
  <c r="K28" i="2"/>
  <c r="K35" i="2"/>
  <c r="K43" i="2"/>
  <c r="K68" i="2"/>
  <c r="K8" i="2"/>
  <c r="K14" i="2"/>
  <c r="K74" i="2"/>
  <c r="K69" i="2"/>
  <c r="K15" i="2"/>
  <c r="K16" i="2"/>
  <c r="K17" i="2"/>
  <c r="K36" i="2"/>
  <c r="K62" i="2"/>
  <c r="K59" i="2"/>
  <c r="K30" i="2"/>
  <c r="K60" i="2"/>
  <c r="K22" i="2"/>
  <c r="K44" i="2"/>
  <c r="K18" i="2"/>
  <c r="K23" i="2"/>
  <c r="K19" i="2"/>
  <c r="K37" i="2"/>
  <c r="K51" i="2"/>
  <c r="K31" i="2"/>
  <c r="K29" i="2"/>
  <c r="K61" i="2"/>
  <c r="K46" i="2"/>
  <c r="K20" i="2"/>
  <c r="K38" i="2"/>
  <c r="K52" i="2"/>
  <c r="K21" i="2"/>
  <c r="K76" i="2"/>
  <c r="K39" i="2"/>
  <c r="K75" i="2"/>
  <c r="K45" i="2"/>
  <c r="K40" i="2"/>
  <c r="J25" i="2"/>
  <c r="J55" i="2"/>
  <c r="J71" i="2"/>
  <c r="J12" i="2"/>
  <c r="J41" i="2"/>
  <c r="J42" i="2"/>
  <c r="J32" i="2"/>
  <c r="J56" i="2"/>
  <c r="J47" i="2"/>
  <c r="J48" i="2"/>
  <c r="J26" i="2"/>
  <c r="J33" i="2"/>
  <c r="J34" i="2"/>
  <c r="J49" i="2"/>
  <c r="J13" i="2"/>
  <c r="J72" i="2"/>
  <c r="J5" i="2"/>
  <c r="J6" i="2"/>
  <c r="J7" i="2"/>
  <c r="J9" i="2"/>
  <c r="J10" i="2"/>
  <c r="J11" i="2"/>
  <c r="J24" i="2"/>
  <c r="J53" i="2"/>
  <c r="J54" i="2"/>
  <c r="J70" i="2"/>
  <c r="J50" i="2"/>
  <c r="J57" i="2"/>
  <c r="J63" i="2"/>
  <c r="J27" i="2"/>
  <c r="J64" i="2"/>
  <c r="J65" i="2"/>
  <c r="J66" i="2"/>
  <c r="J67" i="2"/>
  <c r="J73" i="2"/>
  <c r="J58" i="2"/>
  <c r="J28" i="2"/>
  <c r="J35" i="2"/>
  <c r="J43" i="2"/>
  <c r="J68" i="2"/>
  <c r="J8" i="2"/>
  <c r="J14" i="2"/>
  <c r="J74" i="2"/>
  <c r="J69" i="2"/>
  <c r="J15" i="2"/>
  <c r="J16" i="2"/>
  <c r="J17" i="2"/>
  <c r="J36" i="2"/>
  <c r="J62" i="2"/>
  <c r="J59" i="2"/>
  <c r="J30" i="2"/>
  <c r="J60" i="2"/>
  <c r="J22" i="2"/>
  <c r="J44" i="2"/>
  <c r="J18" i="2"/>
  <c r="J23" i="2"/>
  <c r="J19" i="2"/>
  <c r="J37" i="2"/>
  <c r="J51" i="2"/>
  <c r="J31" i="2"/>
  <c r="J29" i="2"/>
  <c r="J61" i="2"/>
  <c r="J46" i="2"/>
  <c r="J20" i="2"/>
  <c r="J38" i="2"/>
  <c r="J52" i="2"/>
  <c r="J21" i="2"/>
  <c r="J76" i="2"/>
  <c r="J39" i="2"/>
  <c r="J75" i="2"/>
  <c r="J45" i="2"/>
  <c r="J40" i="2"/>
  <c r="I25" i="2"/>
  <c r="I55" i="2"/>
  <c r="I71" i="2"/>
  <c r="I12" i="2"/>
  <c r="I41" i="2"/>
  <c r="I42" i="2"/>
  <c r="I32" i="2"/>
  <c r="I56" i="2"/>
  <c r="I47" i="2"/>
  <c r="I48" i="2"/>
  <c r="I26" i="2"/>
  <c r="I33" i="2"/>
  <c r="I34" i="2"/>
  <c r="I49" i="2"/>
  <c r="I13" i="2"/>
  <c r="I72" i="2"/>
  <c r="I5" i="2"/>
  <c r="I6" i="2"/>
  <c r="I7" i="2"/>
  <c r="I9" i="2"/>
  <c r="I10" i="2"/>
  <c r="I11" i="2"/>
  <c r="I24" i="2"/>
  <c r="I53" i="2"/>
  <c r="I54" i="2"/>
  <c r="I70" i="2"/>
  <c r="I50" i="2"/>
  <c r="I57" i="2"/>
  <c r="I63" i="2"/>
  <c r="I27" i="2"/>
  <c r="I64" i="2"/>
  <c r="I65" i="2"/>
  <c r="I66" i="2"/>
  <c r="I67" i="2"/>
  <c r="I73" i="2"/>
  <c r="I58" i="2"/>
  <c r="I28" i="2"/>
  <c r="I35" i="2"/>
  <c r="I43" i="2"/>
  <c r="I68" i="2"/>
  <c r="I8" i="2"/>
  <c r="I14" i="2"/>
  <c r="I74" i="2"/>
  <c r="I69" i="2"/>
  <c r="I15" i="2"/>
  <c r="I16" i="2"/>
  <c r="I17" i="2"/>
  <c r="I36" i="2"/>
  <c r="I62" i="2"/>
  <c r="I59" i="2"/>
  <c r="I30" i="2"/>
  <c r="I60" i="2"/>
  <c r="I22" i="2"/>
  <c r="I44" i="2"/>
  <c r="I18" i="2"/>
  <c r="I23" i="2"/>
  <c r="I19" i="2"/>
  <c r="I37" i="2"/>
  <c r="I51" i="2"/>
  <c r="I31" i="2"/>
  <c r="I29" i="2"/>
  <c r="I61" i="2"/>
  <c r="I46" i="2"/>
  <c r="I20" i="2"/>
  <c r="I38" i="2"/>
  <c r="I52" i="2"/>
  <c r="I21" i="2"/>
  <c r="I76" i="2"/>
  <c r="I39" i="2"/>
  <c r="I75" i="2"/>
  <c r="I45" i="2"/>
  <c r="I40" i="2"/>
  <c r="H25" i="2"/>
  <c r="H55" i="2"/>
  <c r="H71" i="2"/>
  <c r="H12" i="2"/>
  <c r="H41" i="2"/>
  <c r="H42" i="2"/>
  <c r="H32" i="2"/>
  <c r="H56" i="2"/>
  <c r="H47" i="2"/>
  <c r="H48" i="2"/>
  <c r="H26" i="2"/>
  <c r="H33" i="2"/>
  <c r="H34" i="2"/>
  <c r="H49" i="2"/>
  <c r="H13" i="2"/>
  <c r="H72" i="2"/>
  <c r="H5" i="2"/>
  <c r="H6" i="2"/>
  <c r="H7" i="2"/>
  <c r="H9" i="2"/>
  <c r="H10" i="2"/>
  <c r="H11" i="2"/>
  <c r="H24" i="2"/>
  <c r="H53" i="2"/>
  <c r="H54" i="2"/>
  <c r="H70" i="2"/>
  <c r="H50" i="2"/>
  <c r="H57" i="2"/>
  <c r="H63" i="2"/>
  <c r="H27" i="2"/>
  <c r="H64" i="2"/>
  <c r="H65" i="2"/>
  <c r="H66" i="2"/>
  <c r="H67" i="2"/>
  <c r="H73" i="2"/>
  <c r="H58" i="2"/>
  <c r="H28" i="2"/>
  <c r="H35" i="2"/>
  <c r="H43" i="2"/>
  <c r="H68" i="2"/>
  <c r="H8" i="2"/>
  <c r="H14" i="2"/>
  <c r="H74" i="2"/>
  <c r="H69" i="2"/>
  <c r="H15" i="2"/>
  <c r="H16" i="2"/>
  <c r="H17" i="2"/>
  <c r="H36" i="2"/>
  <c r="H62" i="2"/>
  <c r="H59" i="2"/>
  <c r="H30" i="2"/>
  <c r="H60" i="2"/>
  <c r="H22" i="2"/>
  <c r="H44" i="2"/>
  <c r="H18" i="2"/>
  <c r="H23" i="2"/>
  <c r="H19" i="2"/>
  <c r="H37" i="2"/>
  <c r="H51" i="2"/>
  <c r="H31" i="2"/>
  <c r="H29" i="2"/>
  <c r="H61" i="2"/>
  <c r="H46" i="2"/>
  <c r="H20" i="2"/>
  <c r="H38" i="2"/>
  <c r="H52" i="2"/>
  <c r="H21" i="2"/>
  <c r="H76" i="2"/>
  <c r="H39" i="2"/>
  <c r="H75" i="2"/>
  <c r="H45" i="2"/>
  <c r="H40" i="2"/>
  <c r="G25" i="2"/>
  <c r="G55" i="2"/>
  <c r="G71" i="2"/>
  <c r="G12" i="2"/>
  <c r="G41" i="2"/>
  <c r="G42" i="2"/>
  <c r="G32" i="2"/>
  <c r="G56" i="2"/>
  <c r="G47" i="2"/>
  <c r="G48" i="2"/>
  <c r="G26" i="2"/>
  <c r="G33" i="2"/>
  <c r="G34" i="2"/>
  <c r="G49" i="2"/>
  <c r="G13" i="2"/>
  <c r="G72" i="2"/>
  <c r="G5" i="2"/>
  <c r="G6" i="2"/>
  <c r="G9" i="2"/>
  <c r="G10" i="2"/>
  <c r="G11" i="2"/>
  <c r="G24" i="2"/>
  <c r="G53" i="2"/>
  <c r="G54" i="2"/>
  <c r="G70" i="2"/>
  <c r="G50" i="2"/>
  <c r="G57" i="2"/>
  <c r="G63" i="2"/>
  <c r="G27" i="2"/>
  <c r="G64" i="2"/>
  <c r="G65" i="2"/>
  <c r="G66" i="2"/>
  <c r="G67" i="2"/>
  <c r="G73" i="2"/>
  <c r="G58" i="2"/>
  <c r="G28" i="2"/>
  <c r="G35" i="2"/>
  <c r="G43" i="2"/>
  <c r="G68" i="2"/>
  <c r="G8" i="2"/>
  <c r="G14" i="2"/>
  <c r="G74" i="2"/>
  <c r="G69" i="2"/>
  <c r="G15" i="2"/>
  <c r="G16" i="2"/>
  <c r="G17" i="2"/>
  <c r="G36" i="2"/>
  <c r="G62" i="2"/>
  <c r="G59" i="2"/>
  <c r="G30" i="2"/>
  <c r="G60" i="2"/>
  <c r="G22" i="2"/>
  <c r="G44" i="2"/>
  <c r="G18" i="2"/>
  <c r="G23" i="2"/>
  <c r="G19" i="2"/>
  <c r="G37" i="2"/>
  <c r="G51" i="2"/>
  <c r="G31" i="2"/>
  <c r="G29" i="2"/>
  <c r="G61" i="2"/>
  <c r="G46" i="2"/>
  <c r="G20" i="2"/>
  <c r="G38" i="2"/>
  <c r="G52" i="2"/>
  <c r="G21" i="2"/>
  <c r="G76" i="2"/>
  <c r="G39" i="2"/>
  <c r="G75" i="2"/>
  <c r="G45" i="2"/>
  <c r="G4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E9A32F-A659-477B-8529-6FF48655B54F}" keepAlive="1" name="Query - Web_Scrape_DDV_Fandom_Fish(Trimmed)" description="Connection to the 'Web_Scrape_DDV_Fandom_Fish(Trimmed)' query in the workbook." type="5" refreshedVersion="0" background="1" saveData="1">
    <dbPr connection="Provider=Microsoft.Mashup.OleDb.1;Data Source=$Workbook$;Location=Web_Scrape_DDV_Fandom_Fish(Trimmed);Extended Properties=&quot;&quot;" command="SELECT * FROM [Web_Scrape_DDV_Fandom_Fish(Trimmed)]"/>
  </connection>
  <connection id="2" xr16:uid="{93773C3D-4C39-4243-8FB7-D7441D18B55E}" keepAlive="1" name="Query - Web_Scrape_DDV_Fandom_Ingredients(Trimmed)" description="Connection to the 'Web_Scrape_DDV_Fandom_Ingredients(Trimmed)' query in the workbook." type="5" refreshedVersion="0" background="1">
    <dbPr connection="Provider=Microsoft.Mashup.OleDb.1;Data Source=$Workbook$;Location=Web_Scrape_DDV_Fandom_Ingredients(Trimmed);Extended Properties=&quot;&quot;" command="SELECT * FROM [Web_Scrape_DDV_Fandom_Ingredients(Trimmed)]"/>
  </connection>
  <connection id="3" xr16:uid="{31076CC2-D9CF-450A-A751-E8E026053356}" keepAlive="1" name="Query - Web_Scrape_DDV_Fandom_Recipes(Trimmed)" description="Connection to the 'Web_Scrape_DDV_Fandom_Recipes(Trimmed)' query in the workbook." type="5" refreshedVersion="0" background="1">
    <dbPr connection="Provider=Microsoft.Mashup.OleDb.1;Data Source=$Workbook$;Location=Web_Scrape_DDV_Fandom_Recipes(Trimmed);Extended Properties=&quot;&quot;" command="SELECT * FROM [Web_Scrape_DDV_Fandom_Recipes(Trimmed)]"/>
  </connection>
</connections>
</file>

<file path=xl/sharedStrings.xml><?xml version="1.0" encoding="utf-8"?>
<sst xmlns="http://schemas.openxmlformats.org/spreadsheetml/2006/main" count="1629" uniqueCount="410">
  <si>
    <t>Column1</t>
  </si>
  <si>
    <t>Name</t>
  </si>
  <si>
    <t>CookingCategory</t>
  </si>
  <si>
    <t>Location</t>
  </si>
  <si>
    <t>Sources</t>
  </si>
  <si>
    <t>Asparagus</t>
  </si>
  <si>
    <t>Vegetables</t>
  </si>
  <si>
    <t>Frosted Heights</t>
  </si>
  <si>
    <t>Bell Pepper</t>
  </si>
  <si>
    <t>Forest of Valor</t>
  </si>
  <si>
    <t>Carrot</t>
  </si>
  <si>
    <t>Peaceful Meadow</t>
  </si>
  <si>
    <t>Chili Pepper</t>
  </si>
  <si>
    <t>Sunlit Plateau</t>
  </si>
  <si>
    <t>Corn</t>
  </si>
  <si>
    <t>Dazzle Beach</t>
  </si>
  <si>
    <t>Cucumber</t>
  </si>
  <si>
    <t>Eggplant</t>
  </si>
  <si>
    <t>Leek</t>
  </si>
  <si>
    <t>Forgotten Lands</t>
  </si>
  <si>
    <t>Lettuce</t>
  </si>
  <si>
    <t>Mushroom</t>
  </si>
  <si>
    <t>Glade of Trust</t>
  </si>
  <si>
    <t>Okra</t>
  </si>
  <si>
    <t>Onion</t>
  </si>
  <si>
    <t>Potato</t>
  </si>
  <si>
    <t>Pumpkin</t>
  </si>
  <si>
    <t>Spinach</t>
  </si>
  <si>
    <t>Tomato</t>
  </si>
  <si>
    <t>Zucchini</t>
  </si>
  <si>
    <t>Apple</t>
  </si>
  <si>
    <t>Fruit</t>
  </si>
  <si>
    <t>Apple Tree:
    Forgotten Lands
    Plaza</t>
  </si>
  <si>
    <t>Banana</t>
  </si>
  <si>
    <t>Banana Tree:
    Peaceful Meadow
    Dazzle Beach
    Moana Realm</t>
  </si>
  <si>
    <t>Blueberry</t>
  </si>
  <si>
    <t>Blueberry Bush:
    Forest of Valor
    Dazzle Beach</t>
  </si>
  <si>
    <t>Cherry</t>
  </si>
  <si>
    <t>Cherry Tree:
    Frosted Heights
    Sunlit Plateau</t>
  </si>
  <si>
    <t>Coconut</t>
  </si>
  <si>
    <t>Coconut Tree:
    Dazzle Beach
    Moana Realm</t>
  </si>
  <si>
    <t>Coffee Bean</t>
  </si>
  <si>
    <t>Coffee Bush:
    Glade of Trust</t>
  </si>
  <si>
    <t>Dreamlight Fruit</t>
  </si>
  <si>
    <t>Dreamlight Tree:
    Sunlit Plateau</t>
  </si>
  <si>
    <t>Gooseberry</t>
  </si>
  <si>
    <t>Gooseberry Bush:
    Frosted Heights
    Forgotten Lands</t>
  </si>
  <si>
    <t>Lemon</t>
  </si>
  <si>
    <t>Lemon Tree:
    Forest of Valor
    Glade of Trust</t>
  </si>
  <si>
    <t>Raspberry</t>
  </si>
  <si>
    <t>Raspberry Bush:
    Plaza
    Peaceful Meadow</t>
  </si>
  <si>
    <t>Rice</t>
  </si>
  <si>
    <t>Grains</t>
  </si>
  <si>
    <t>Wheat</t>
  </si>
  <si>
    <t>Butter</t>
  </si>
  <si>
    <t>Dairy and Oil</t>
  </si>
  <si>
    <t>Canola</t>
  </si>
  <si>
    <t>Cheese</t>
  </si>
  <si>
    <t>Egg</t>
  </si>
  <si>
    <t>Milk</t>
  </si>
  <si>
    <t>Peanut</t>
  </si>
  <si>
    <t>Soya</t>
  </si>
  <si>
    <t>Basil</t>
  </si>
  <si>
    <t>Spices</t>
  </si>
  <si>
    <t>Garlic</t>
  </si>
  <si>
    <t>Ginger</t>
  </si>
  <si>
    <t>Mint</t>
  </si>
  <si>
    <t>Oregano</t>
  </si>
  <si>
    <t>Plaza</t>
  </si>
  <si>
    <t>Cocoa Bean</t>
  </si>
  <si>
    <t>Sweets</t>
  </si>
  <si>
    <t>Cacao Tree:
    Sunlit Plateau
    Glade of Trust</t>
  </si>
  <si>
    <t>Sugarcane</t>
  </si>
  <si>
    <t>Vanilla</t>
  </si>
  <si>
    <t>Slush Ice</t>
  </si>
  <si>
    <t>Ice</t>
  </si>
  <si>
    <t>Clam</t>
  </si>
  <si>
    <t>Seafood</t>
  </si>
  <si>
    <t>Oyster</t>
  </si>
  <si>
    <t>Scallop</t>
  </si>
  <si>
    <t>Arendellian Pickled Herring</t>
  </si>
  <si>
    <t>Appetizers</t>
  </si>
  <si>
    <t>★★★★★</t>
  </si>
  <si>
    <t>Bell Pepper Puffs</t>
  </si>
  <si>
    <t>★★★☆☆</t>
  </si>
  <si>
    <t>Buñuelos</t>
  </si>
  <si>
    <t>★★★★☆</t>
  </si>
  <si>
    <t>Cheese Platter</t>
  </si>
  <si>
    <t>★☆☆☆☆</t>
  </si>
  <si>
    <t>Chili Pepper Puffs</t>
  </si>
  <si>
    <t>Coffee</t>
  </si>
  <si>
    <t>Crackers</t>
  </si>
  <si>
    <t>Creamy Soup</t>
  </si>
  <si>
    <t>Crudités</t>
  </si>
  <si>
    <t>Dream Fizz</t>
  </si>
  <si>
    <t>Eggplant Puffs</t>
  </si>
  <si>
    <t>French Fries</t>
  </si>
  <si>
    <t>★★☆☆☆</t>
  </si>
  <si>
    <t>Gazpacho</t>
  </si>
  <si>
    <t>Green Salad</t>
  </si>
  <si>
    <t>Grilled Vegetables</t>
  </si>
  <si>
    <t>Grilled Veggie Platter</t>
  </si>
  <si>
    <t>Hard-Boiled Eggs</t>
  </si>
  <si>
    <t>Large Seafood Platter</t>
  </si>
  <si>
    <t>Latte</t>
  </si>
  <si>
    <t>Mocha</t>
  </si>
  <si>
    <t>Okra Soup</t>
  </si>
  <si>
    <t>Onion Puffs</t>
  </si>
  <si>
    <t>Oyster Platter</t>
  </si>
  <si>
    <t>Peppermint Tea</t>
  </si>
  <si>
    <t>Pickled Herring</t>
  </si>
  <si>
    <t>Potato Leek Soup</t>
  </si>
  <si>
    <t>Potato Puffs</t>
  </si>
  <si>
    <t>Pottage</t>
  </si>
  <si>
    <t>Pumpkin Puffs</t>
  </si>
  <si>
    <t>Pumpkin Soup</t>
  </si>
  <si>
    <t>Purée</t>
  </si>
  <si>
    <t>Roasted Asparagus</t>
  </si>
  <si>
    <t>Salad</t>
  </si>
  <si>
    <t>Sautéed Mushrooms</t>
  </si>
  <si>
    <t>Seafood Appetizer</t>
  </si>
  <si>
    <t>Seafood Platter</t>
  </si>
  <si>
    <t>Soufflé</t>
  </si>
  <si>
    <t>Sweet Herring</t>
  </si>
  <si>
    <t>Tomato Soup</t>
  </si>
  <si>
    <t>Vegetable Soup</t>
  </si>
  <si>
    <t>Zucchini Puffs</t>
  </si>
  <si>
    <t>Apple-Cider-Glazed Salmon</t>
  </si>
  <si>
    <t>Entrées</t>
  </si>
  <si>
    <t>Baked Carp</t>
  </si>
  <si>
    <t>Basil Omelet</t>
  </si>
  <si>
    <t>Bouillabaisse</t>
  </si>
  <si>
    <t>Carp Salad</t>
  </si>
  <si>
    <t>Cheesy Crispy Baked Cod</t>
  </si>
  <si>
    <t>Chowder</t>
  </si>
  <si>
    <t>Creamy Garlic Scallops</t>
  </si>
  <si>
    <t>Crispy Baked Cod</t>
  </si>
  <si>
    <t>Fish Creole</t>
  </si>
  <si>
    <t>Fish 'n' Chips</t>
  </si>
  <si>
    <t>Fish Pasta</t>
  </si>
  <si>
    <t>Fish Pie</t>
  </si>
  <si>
    <t>Fish Risotto</t>
  </si>
  <si>
    <t>Fish Salad</t>
  </si>
  <si>
    <t>Fish Sandwiches</t>
  </si>
  <si>
    <t>Fish Soup</t>
  </si>
  <si>
    <t>Fish Steak</t>
  </si>
  <si>
    <t>Fish Tacos</t>
  </si>
  <si>
    <t>Fugu Sushi</t>
  </si>
  <si>
    <t>Ghostly Fish Steak</t>
  </si>
  <si>
    <t>Greek Pizza</t>
  </si>
  <si>
    <t>Grilled Fish</t>
  </si>
  <si>
    <t>Grilled Fish Entree</t>
  </si>
  <si>
    <t>Gumbo</t>
  </si>
  <si>
    <t>Hearty Salad</t>
  </si>
  <si>
    <t>Hors d'Oeuvres</t>
  </si>
  <si>
    <t>Kappa Maki</t>
  </si>
  <si>
    <t>Kronk's Spinach Puffs</t>
  </si>
  <si>
    <t>Lancetfish Paella</t>
  </si>
  <si>
    <t>Leek Soup</t>
  </si>
  <si>
    <t>Lemon Garlic Swordfish</t>
  </si>
  <si>
    <t>Lioness Feast</t>
  </si>
  <si>
    <t>Lobster Roll</t>
  </si>
  <si>
    <t>Maguro Sushi</t>
  </si>
  <si>
    <t>Maki</t>
  </si>
  <si>
    <t>Margherita Pizza</t>
  </si>
  <si>
    <t>Marvelous Jam</t>
  </si>
  <si>
    <t>Mediterranean Salad</t>
  </si>
  <si>
    <t>Mushroom Pizza</t>
  </si>
  <si>
    <t>Mushu's Congee</t>
  </si>
  <si>
    <t>Omelet</t>
  </si>
  <si>
    <t>Pan-Fried Angler Fish</t>
  </si>
  <si>
    <t>Pan-Seared Bass &amp; Vegetables</t>
  </si>
  <si>
    <t>Pan-Seared Tilapia &amp; Vegetables</t>
  </si>
  <si>
    <t>Pasta</t>
  </si>
  <si>
    <t>Peanut Butter Sandwich</t>
  </si>
  <si>
    <t>Pizza</t>
  </si>
  <si>
    <t>Poached Basil-Butter Sturgeon</t>
  </si>
  <si>
    <t>Porridge</t>
  </si>
  <si>
    <t>Porridge with Fruits</t>
  </si>
  <si>
    <t>Ranch Salad</t>
  </si>
  <si>
    <t>Ratatouille</t>
  </si>
  <si>
    <t>Sake Maki</t>
  </si>
  <si>
    <t>Sake Sushi</t>
  </si>
  <si>
    <t>Savory Fish</t>
  </si>
  <si>
    <t>Scrambled Egg</t>
  </si>
  <si>
    <t>Seafood Pasta</t>
  </si>
  <si>
    <t>Seafood Pie</t>
  </si>
  <si>
    <t>Seafood Salad</t>
  </si>
  <si>
    <t>Seafood Soup</t>
  </si>
  <si>
    <t>Seared Rainbow Trout</t>
  </si>
  <si>
    <t>Simple Fried Perch</t>
  </si>
  <si>
    <t>Smoked Peanuts and Anglerfish</t>
  </si>
  <si>
    <t>Sole Meunière</t>
  </si>
  <si>
    <t>Spaghetti Arrabbiata</t>
  </si>
  <si>
    <t>Spicy Baked Bream</t>
  </si>
  <si>
    <t>Steamed Fugu</t>
  </si>
  <si>
    <t>Sushi</t>
  </si>
  <si>
    <t>Sweet &amp; Sour Kingfish Steak</t>
  </si>
  <si>
    <t>Sweet Udon</t>
  </si>
  <si>
    <t>Tamagoyaki</t>
  </si>
  <si>
    <t>Tasty Salad</t>
  </si>
  <si>
    <t>Tasty Veggies</t>
  </si>
  <si>
    <t>Tekka Maki</t>
  </si>
  <si>
    <t>Teriyaki Salmon</t>
  </si>
  <si>
    <t>Tuna Burger</t>
  </si>
  <si>
    <t>Vegetarian Pizza</t>
  </si>
  <si>
    <t>Vegetarian Stew</t>
  </si>
  <si>
    <t>Vegetarian Taco</t>
  </si>
  <si>
    <t>Veggie Casserole</t>
  </si>
  <si>
    <t>Veggie Pasta</t>
  </si>
  <si>
    <t>Veggie Pie</t>
  </si>
  <si>
    <t>Veggie Skewers</t>
  </si>
  <si>
    <t>Walleye en Papillote</t>
  </si>
  <si>
    <t>"My Hero" Cookie</t>
  </si>
  <si>
    <t>Desserts</t>
  </si>
  <si>
    <t>Apple Pie</t>
  </si>
  <si>
    <t>Apple Sorbet</t>
  </si>
  <si>
    <t>Aurora's Cake</t>
  </si>
  <si>
    <t>Banana Ice Cream</t>
  </si>
  <si>
    <t>Banana Pie</t>
  </si>
  <si>
    <t>Banana Split</t>
  </si>
  <si>
    <t>Beignets</t>
  </si>
  <si>
    <t>Berry Salad</t>
  </si>
  <si>
    <t>Birthday Cake</t>
  </si>
  <si>
    <t>Biscuits</t>
  </si>
  <si>
    <t>Blueberry Pie</t>
  </si>
  <si>
    <t>Boba Tea</t>
  </si>
  <si>
    <t>Candy</t>
  </si>
  <si>
    <t>Caramel Apples</t>
  </si>
  <si>
    <t>Carrot Cake</t>
  </si>
  <si>
    <t>Cheesecake</t>
  </si>
  <si>
    <t>Cherry Pie</t>
  </si>
  <si>
    <t>Chocolate Chip Cookies</t>
  </si>
  <si>
    <t>Chocolate Ice Cream</t>
  </si>
  <si>
    <t>Chocolate Waffles</t>
  </si>
  <si>
    <t>Coconut Boba Tea</t>
  </si>
  <si>
    <t>Coconut Cake</t>
  </si>
  <si>
    <t>Coconut Ice Cream</t>
  </si>
  <si>
    <t>Crepe</t>
  </si>
  <si>
    <t>Dream Ice Cream</t>
  </si>
  <si>
    <t>Fruit Salad</t>
  </si>
  <si>
    <t>Fruit Sorbet</t>
  </si>
  <si>
    <t>Fruitcake</t>
  </si>
  <si>
    <t>Gingerbread House</t>
  </si>
  <si>
    <t>Gooseberry Boba Tea</t>
  </si>
  <si>
    <t>Gray Stuff</t>
  </si>
  <si>
    <t>Hot Cocoa</t>
  </si>
  <si>
    <t>Ice Cream</t>
  </si>
  <si>
    <t>Jam Waffles</t>
  </si>
  <si>
    <t>Lemon Sorbet</t>
  </si>
  <si>
    <t>Meringue Pie</t>
  </si>
  <si>
    <t>Minnie's Gingerbread Cookies</t>
  </si>
  <si>
    <t>Mint Boba Tea</t>
  </si>
  <si>
    <t>Mint Candy</t>
  </si>
  <si>
    <t>Mint Chocolate</t>
  </si>
  <si>
    <t>Mint Sorbet</t>
  </si>
  <si>
    <t>Pastry Cream and Fruits</t>
  </si>
  <si>
    <t>Pawpsicle</t>
  </si>
  <si>
    <t>Peanut Butter Waffles</t>
  </si>
  <si>
    <t>Plain Snow Cones</t>
  </si>
  <si>
    <t>Raspberry Boba Tea</t>
  </si>
  <si>
    <t>Red Fruit Pie</t>
  </si>
  <si>
    <t>Red Fruit Sorbet</t>
  </si>
  <si>
    <t>Root Beer</t>
  </si>
  <si>
    <t>Shake</t>
  </si>
  <si>
    <t>Snow White's Gooseberry Pie</t>
  </si>
  <si>
    <t>Sour Snow Cones</t>
  </si>
  <si>
    <t>Sweet Slush</t>
  </si>
  <si>
    <t>Tropical Pop</t>
  </si>
  <si>
    <t>Vanilla Ice Cream</t>
  </si>
  <si>
    <t>Waffles</t>
  </si>
  <si>
    <t>Wedding Cake</t>
  </si>
  <si>
    <t>Whimsical Pie</t>
  </si>
  <si>
    <t>Wonderland Cookies</t>
  </si>
  <si>
    <t>Yule Log</t>
  </si>
  <si>
    <t>Rainbow Trout</t>
  </si>
  <si>
    <t>Index</t>
  </si>
  <si>
    <t>x001</t>
  </si>
  <si>
    <t>x002</t>
  </si>
  <si>
    <t>x003</t>
  </si>
  <si>
    <t>x004</t>
  </si>
  <si>
    <t>x005</t>
  </si>
  <si>
    <t>x006</t>
  </si>
  <si>
    <t>x007</t>
  </si>
  <si>
    <t>x008</t>
  </si>
  <si>
    <t>x009</t>
  </si>
  <si>
    <t>x010</t>
  </si>
  <si>
    <t>x011</t>
  </si>
  <si>
    <t>x012</t>
  </si>
  <si>
    <t>x013</t>
  </si>
  <si>
    <t>x014</t>
  </si>
  <si>
    <t>x015</t>
  </si>
  <si>
    <t>x016</t>
  </si>
  <si>
    <t>x017</t>
  </si>
  <si>
    <t>x018</t>
  </si>
  <si>
    <t>x019</t>
  </si>
  <si>
    <t>x020</t>
  </si>
  <si>
    <t>x021</t>
  </si>
  <si>
    <t>x022</t>
  </si>
  <si>
    <t>x023</t>
  </si>
  <si>
    <t>x024</t>
  </si>
  <si>
    <t>x025</t>
  </si>
  <si>
    <t>x026</t>
  </si>
  <si>
    <t>x027</t>
  </si>
  <si>
    <t>x028</t>
  </si>
  <si>
    <t>x029</t>
  </si>
  <si>
    <t>x030</t>
  </si>
  <si>
    <t>x031</t>
  </si>
  <si>
    <t>x032</t>
  </si>
  <si>
    <t>x033</t>
  </si>
  <si>
    <t>x034</t>
  </si>
  <si>
    <t>x035</t>
  </si>
  <si>
    <t>x036</t>
  </si>
  <si>
    <t>x037</t>
  </si>
  <si>
    <t>x038</t>
  </si>
  <si>
    <t>x039</t>
  </si>
  <si>
    <t>x040</t>
  </si>
  <si>
    <t>x041</t>
  </si>
  <si>
    <t>x042</t>
  </si>
  <si>
    <t>x043</t>
  </si>
  <si>
    <t>x044</t>
  </si>
  <si>
    <t>x045</t>
  </si>
  <si>
    <t>x046</t>
  </si>
  <si>
    <t>x047</t>
  </si>
  <si>
    <t>x048</t>
  </si>
  <si>
    <t>Sell Price</t>
  </si>
  <si>
    <t>Locations</t>
  </si>
  <si>
    <t>Anglerfish</t>
  </si>
  <si>
    <t>Fish</t>
  </si>
  <si>
    <t>Bass</t>
  </si>
  <si>
    <t>Peaceful Meadow
 Forest of Valor
 Sunlit Plateau
 Frosted Heights</t>
  </si>
  <si>
    <t>Bream</t>
  </si>
  <si>
    <t>Carp</t>
  </si>
  <si>
    <t>Forest of Valor
 Sunlit Plateau</t>
  </si>
  <si>
    <t>Catfish</t>
  </si>
  <si>
    <t>Cod</t>
  </si>
  <si>
    <t>Dazzle Beach
 Forgotten Lands
 Glade of Trust</t>
  </si>
  <si>
    <t>Crab</t>
  </si>
  <si>
    <t>Fugu</t>
  </si>
  <si>
    <t>Here and There Fish</t>
  </si>
  <si>
    <t>All Biomes</t>
  </si>
  <si>
    <t>Herring</t>
  </si>
  <si>
    <t>Dazzle Beach
 Glade of Trust</t>
  </si>
  <si>
    <t>Kingfish</t>
  </si>
  <si>
    <t>Lancetfish</t>
  </si>
  <si>
    <t>Lobster</t>
  </si>
  <si>
    <t>Perch</t>
  </si>
  <si>
    <t>Pike</t>
  </si>
  <si>
    <t>Peaceful Meadow
 Forest of Valor</t>
  </si>
  <si>
    <t>Red Algae</t>
  </si>
  <si>
    <t>Salmon</t>
  </si>
  <si>
    <t>Frosted Heights
 Sunlit Plateau</t>
  </si>
  <si>
    <t>Seaweed</t>
  </si>
  <si>
    <t>Shrimp</t>
  </si>
  <si>
    <t>Sole</t>
  </si>
  <si>
    <t>Squid</t>
  </si>
  <si>
    <t>Glade of Trust
 Forgotten Lands</t>
  </si>
  <si>
    <t>Swordfish</t>
  </si>
  <si>
    <t>Tilapia</t>
  </si>
  <si>
    <t>Sunlit Plateau
 Frosted Heights</t>
  </si>
  <si>
    <t>Tuna</t>
  </si>
  <si>
    <t>Forgotten Lands
 Glade of Trust</t>
  </si>
  <si>
    <t>Walleye</t>
  </si>
  <si>
    <t>White Sturgeon</t>
  </si>
  <si>
    <t>x049</t>
  </si>
  <si>
    <t>x050</t>
  </si>
  <si>
    <t>x051</t>
  </si>
  <si>
    <t>x052</t>
  </si>
  <si>
    <t>x053</t>
  </si>
  <si>
    <t>x054</t>
  </si>
  <si>
    <t>x055</t>
  </si>
  <si>
    <t>x056</t>
  </si>
  <si>
    <t>x057</t>
  </si>
  <si>
    <t>x058</t>
  </si>
  <si>
    <t>x059</t>
  </si>
  <si>
    <t>x060</t>
  </si>
  <si>
    <t>x061</t>
  </si>
  <si>
    <t>x062</t>
  </si>
  <si>
    <t>x063</t>
  </si>
  <si>
    <t>x064</t>
  </si>
  <si>
    <t>x065</t>
  </si>
  <si>
    <t>x066</t>
  </si>
  <si>
    <t>x067</t>
  </si>
  <si>
    <t>x068</t>
  </si>
  <si>
    <t>x069</t>
  </si>
  <si>
    <t>x070</t>
  </si>
  <si>
    <t>x071</t>
  </si>
  <si>
    <t>x072</t>
  </si>
  <si>
    <t>x073</t>
  </si>
  <si>
    <t>x074</t>
  </si>
  <si>
    <t>x075</t>
  </si>
  <si>
    <t>FrostedHeights</t>
  </si>
  <si>
    <t>ForgottenLands</t>
  </si>
  <si>
    <t>PeacefulMeadow</t>
  </si>
  <si>
    <t>DazzleBeach</t>
  </si>
  <si>
    <t>GladeofTrust</t>
  </si>
  <si>
    <t>ForestofValor</t>
  </si>
  <si>
    <t>SunlitPlateau</t>
  </si>
  <si>
    <t>SellPrice</t>
  </si>
  <si>
    <t>goofyStall</t>
  </si>
  <si>
    <t>chezRemy</t>
  </si>
  <si>
    <t>foraging</t>
  </si>
  <si>
    <t>recipeName</t>
  </si>
  <si>
    <t>recipeType</t>
  </si>
  <si>
    <t>recipeStars</t>
  </si>
  <si>
    <t>recipeIng1</t>
  </si>
  <si>
    <t>recipeIng2</t>
  </si>
  <si>
    <t>recipeIng3</t>
  </si>
  <si>
    <t>recipeIng4</t>
  </si>
  <si>
    <t>recipeIng5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</si>
</sst>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B2024-7156-471C-9526-DD0E3E92944A}">
  <sheetPr codeName="Sheet1"/>
  <dimension ref="A1:N76"/>
  <sheetViews>
    <sheetView tabSelected="1" workbookViewId="0">
      <pane ySplit="1" topLeftCell="A2" activePane="bottomLeft" state="frozen"/>
      <selection pane="bottomLeft" activeCell="G8" sqref="G8"/>
    </sheetView>
  </sheetViews>
  <sheetFormatPr defaultRowHeight="15" x14ac:dyDescent="0.25"/>
  <cols>
    <col min="1" max="1" width="8.28515625" bestFit="1" customWidth="1"/>
    <col min="2" max="2" width="18.85546875" bestFit="1" customWidth="1"/>
    <col min="3" max="3" width="18.42578125" bestFit="1" customWidth="1"/>
    <col min="4" max="4" width="11.42578125" style="1" bestFit="1" customWidth="1"/>
    <col min="5" max="5" width="62.42578125" bestFit="1" customWidth="1"/>
    <col min="6" max="6" width="28.5703125" bestFit="1" customWidth="1"/>
    <col min="7" max="14" width="15.85546875" customWidth="1"/>
  </cols>
  <sheetData>
    <row r="1" spans="1:14" x14ac:dyDescent="0.25">
      <c r="A1" t="s">
        <v>276</v>
      </c>
      <c r="B1" t="s">
        <v>1</v>
      </c>
      <c r="C1" t="s">
        <v>2</v>
      </c>
      <c r="D1" s="1" t="s">
        <v>398</v>
      </c>
      <c r="E1" t="s">
        <v>3</v>
      </c>
      <c r="F1" t="s">
        <v>4</v>
      </c>
      <c r="G1" t="s">
        <v>68</v>
      </c>
      <c r="H1" t="s">
        <v>393</v>
      </c>
      <c r="I1" t="s">
        <v>394</v>
      </c>
      <c r="J1" t="s">
        <v>395</v>
      </c>
      <c r="K1" t="s">
        <v>396</v>
      </c>
      <c r="L1" t="s">
        <v>397</v>
      </c>
      <c r="M1" t="s">
        <v>391</v>
      </c>
      <c r="N1" t="s">
        <v>392</v>
      </c>
    </row>
    <row r="2" spans="1:14" x14ac:dyDescent="0.25">
      <c r="A2" t="s">
        <v>372</v>
      </c>
      <c r="B2" t="s">
        <v>339</v>
      </c>
      <c r="C2" t="s">
        <v>328</v>
      </c>
      <c r="D2" s="1">
        <v>2000</v>
      </c>
      <c r="E2" t="s">
        <v>340</v>
      </c>
      <c r="F2" t="s">
        <v>401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</row>
    <row r="3" spans="1:14" x14ac:dyDescent="0.25">
      <c r="A3" t="s">
        <v>380</v>
      </c>
      <c r="B3" t="s">
        <v>349</v>
      </c>
      <c r="C3" t="s">
        <v>328</v>
      </c>
      <c r="D3" s="1">
        <v>150</v>
      </c>
      <c r="E3" t="s">
        <v>340</v>
      </c>
      <c r="F3" t="s">
        <v>401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</row>
    <row r="4" spans="1:14" x14ac:dyDescent="0.25">
      <c r="A4" t="s">
        <v>382</v>
      </c>
      <c r="B4" t="s">
        <v>352</v>
      </c>
      <c r="C4" t="s">
        <v>328</v>
      </c>
      <c r="D4" s="1">
        <v>20</v>
      </c>
      <c r="E4" t="s">
        <v>340</v>
      </c>
      <c r="F4" t="s">
        <v>401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</row>
    <row r="5" spans="1:14" x14ac:dyDescent="0.25">
      <c r="A5" t="s">
        <v>294</v>
      </c>
      <c r="B5" t="s">
        <v>30</v>
      </c>
      <c r="C5" t="s">
        <v>31</v>
      </c>
      <c r="D5" s="1">
        <v>25</v>
      </c>
      <c r="E5" t="s">
        <v>32</v>
      </c>
      <c r="F5" t="s">
        <v>401</v>
      </c>
      <c r="G5">
        <f t="shared" ref="G5:G36" si="0">IF(COUNTIF($E5,"*Plaza*"),1,0)</f>
        <v>1</v>
      </c>
      <c r="H5">
        <f t="shared" ref="H5:H36" si="1">IF(COUNTIF($E5,"*Peaceful Meadow*"),1,0)</f>
        <v>0</v>
      </c>
      <c r="I5">
        <f t="shared" ref="I5:I36" si="2">IF(COUNTIF($E5,"*Dazzle Beach*"),1,0)</f>
        <v>0</v>
      </c>
      <c r="J5">
        <f t="shared" ref="J5:J36" si="3">IF(COUNTIF($E5,"*Glade of Trust*"),1,0)</f>
        <v>0</v>
      </c>
      <c r="K5">
        <f t="shared" ref="K5:K36" si="4">IF(COUNTIF($E5,"*Forest of Valor*"),1,0)</f>
        <v>0</v>
      </c>
      <c r="L5">
        <f t="shared" ref="L5:L36" si="5">IF(COUNTIF($E5,"*Sunlit Plateau*"),1,0)</f>
        <v>0</v>
      </c>
      <c r="M5">
        <f t="shared" ref="M5:M36" si="6">IF(COUNTIF($E5,"*Frosted Heights*"),1,0)</f>
        <v>0</v>
      </c>
      <c r="N5">
        <f t="shared" ref="N5:N36" si="7">IF(COUNTIF($E5,"*Forgotten Lands*"),1,0)</f>
        <v>1</v>
      </c>
    </row>
    <row r="6" spans="1:14" x14ac:dyDescent="0.25">
      <c r="A6" t="s">
        <v>295</v>
      </c>
      <c r="B6" t="s">
        <v>33</v>
      </c>
      <c r="C6" t="s">
        <v>31</v>
      </c>
      <c r="D6" s="1">
        <v>29</v>
      </c>
      <c r="E6" t="s">
        <v>34</v>
      </c>
      <c r="F6" t="s">
        <v>401</v>
      </c>
      <c r="G6">
        <f t="shared" si="0"/>
        <v>0</v>
      </c>
      <c r="H6">
        <f t="shared" si="1"/>
        <v>1</v>
      </c>
      <c r="I6">
        <f t="shared" si="2"/>
        <v>1</v>
      </c>
      <c r="J6">
        <f t="shared" si="3"/>
        <v>0</v>
      </c>
      <c r="K6">
        <f t="shared" si="4"/>
        <v>0</v>
      </c>
      <c r="L6">
        <f t="shared" si="5"/>
        <v>0</v>
      </c>
      <c r="M6">
        <f t="shared" si="6"/>
        <v>0</v>
      </c>
      <c r="N6">
        <f t="shared" si="7"/>
        <v>0</v>
      </c>
    </row>
    <row r="7" spans="1:14" x14ac:dyDescent="0.25">
      <c r="A7" t="s">
        <v>296</v>
      </c>
      <c r="B7" t="s">
        <v>35</v>
      </c>
      <c r="C7" t="s">
        <v>31</v>
      </c>
      <c r="D7" s="1">
        <v>29</v>
      </c>
      <c r="E7" t="s">
        <v>36</v>
      </c>
      <c r="F7" t="s">
        <v>401</v>
      </c>
      <c r="G7">
        <f>IF(COUNTIF($E7,"*Plaza*"),1,0)</f>
        <v>0</v>
      </c>
      <c r="H7">
        <f t="shared" si="1"/>
        <v>0</v>
      </c>
      <c r="I7">
        <f t="shared" si="2"/>
        <v>1</v>
      </c>
      <c r="J7">
        <f t="shared" si="3"/>
        <v>0</v>
      </c>
      <c r="K7">
        <f t="shared" si="4"/>
        <v>1</v>
      </c>
      <c r="L7">
        <f t="shared" si="5"/>
        <v>0</v>
      </c>
      <c r="M7">
        <f t="shared" si="6"/>
        <v>0</v>
      </c>
      <c r="N7">
        <f t="shared" si="7"/>
        <v>0</v>
      </c>
    </row>
    <row r="8" spans="1:14" x14ac:dyDescent="0.25">
      <c r="A8" t="s">
        <v>318</v>
      </c>
      <c r="B8" t="s">
        <v>69</v>
      </c>
      <c r="C8" t="s">
        <v>70</v>
      </c>
      <c r="D8" s="1">
        <v>38</v>
      </c>
      <c r="E8" t="s">
        <v>71</v>
      </c>
      <c r="F8" t="s">
        <v>401</v>
      </c>
      <c r="G8">
        <f t="shared" si="0"/>
        <v>0</v>
      </c>
      <c r="H8">
        <f t="shared" si="1"/>
        <v>0</v>
      </c>
      <c r="I8">
        <f t="shared" si="2"/>
        <v>0</v>
      </c>
      <c r="J8">
        <f t="shared" si="3"/>
        <v>1</v>
      </c>
      <c r="K8">
        <f t="shared" si="4"/>
        <v>0</v>
      </c>
      <c r="L8">
        <f t="shared" si="5"/>
        <v>1</v>
      </c>
      <c r="M8">
        <f t="shared" si="6"/>
        <v>0</v>
      </c>
      <c r="N8">
        <f t="shared" si="7"/>
        <v>0</v>
      </c>
    </row>
    <row r="9" spans="1:14" x14ac:dyDescent="0.25">
      <c r="A9" t="s">
        <v>297</v>
      </c>
      <c r="B9" t="s">
        <v>37</v>
      </c>
      <c r="C9" t="s">
        <v>31</v>
      </c>
      <c r="D9" s="1">
        <v>42</v>
      </c>
      <c r="E9" t="s">
        <v>38</v>
      </c>
      <c r="F9" t="s">
        <v>401</v>
      </c>
      <c r="G9">
        <f t="shared" si="0"/>
        <v>0</v>
      </c>
      <c r="H9">
        <f t="shared" si="1"/>
        <v>0</v>
      </c>
      <c r="I9">
        <f t="shared" si="2"/>
        <v>0</v>
      </c>
      <c r="J9">
        <f t="shared" si="3"/>
        <v>0</v>
      </c>
      <c r="K9">
        <f t="shared" si="4"/>
        <v>0</v>
      </c>
      <c r="L9">
        <f t="shared" si="5"/>
        <v>1</v>
      </c>
      <c r="M9">
        <f t="shared" si="6"/>
        <v>1</v>
      </c>
      <c r="N9">
        <f t="shared" si="7"/>
        <v>0</v>
      </c>
    </row>
    <row r="10" spans="1:14" x14ac:dyDescent="0.25">
      <c r="A10" t="s">
        <v>298</v>
      </c>
      <c r="B10" t="s">
        <v>39</v>
      </c>
      <c r="C10" t="s">
        <v>31</v>
      </c>
      <c r="D10" s="1">
        <v>42</v>
      </c>
      <c r="E10" t="s">
        <v>40</v>
      </c>
      <c r="F10" t="s">
        <v>401</v>
      </c>
      <c r="G10">
        <f t="shared" si="0"/>
        <v>0</v>
      </c>
      <c r="H10">
        <f t="shared" si="1"/>
        <v>0</v>
      </c>
      <c r="I10">
        <f t="shared" si="2"/>
        <v>1</v>
      </c>
      <c r="J10">
        <f t="shared" si="3"/>
        <v>0</v>
      </c>
      <c r="K10">
        <f t="shared" si="4"/>
        <v>0</v>
      </c>
      <c r="L10">
        <f t="shared" si="5"/>
        <v>0</v>
      </c>
      <c r="M10">
        <f t="shared" si="6"/>
        <v>0</v>
      </c>
      <c r="N10">
        <f t="shared" si="7"/>
        <v>0</v>
      </c>
    </row>
    <row r="11" spans="1:14" x14ac:dyDescent="0.25">
      <c r="A11" t="s">
        <v>299</v>
      </c>
      <c r="B11" t="s">
        <v>41</v>
      </c>
      <c r="C11" t="s">
        <v>31</v>
      </c>
      <c r="D11" s="1">
        <v>36</v>
      </c>
      <c r="E11" t="s">
        <v>42</v>
      </c>
      <c r="F11" t="s">
        <v>401</v>
      </c>
      <c r="G11">
        <f t="shared" si="0"/>
        <v>0</v>
      </c>
      <c r="H11">
        <f t="shared" si="1"/>
        <v>0</v>
      </c>
      <c r="I11">
        <f t="shared" si="2"/>
        <v>0</v>
      </c>
      <c r="J11">
        <f t="shared" si="3"/>
        <v>1</v>
      </c>
      <c r="K11">
        <f t="shared" si="4"/>
        <v>0</v>
      </c>
      <c r="L11">
        <f t="shared" si="5"/>
        <v>0</v>
      </c>
      <c r="M11">
        <f t="shared" si="6"/>
        <v>0</v>
      </c>
      <c r="N11">
        <f t="shared" si="7"/>
        <v>0</v>
      </c>
    </row>
    <row r="12" spans="1:14" x14ac:dyDescent="0.25">
      <c r="A12" t="s">
        <v>281</v>
      </c>
      <c r="B12" t="s">
        <v>14</v>
      </c>
      <c r="C12" t="s">
        <v>6</v>
      </c>
      <c r="D12" s="1">
        <v>16</v>
      </c>
      <c r="E12" t="s">
        <v>15</v>
      </c>
      <c r="F12" t="s">
        <v>399</v>
      </c>
      <c r="G12">
        <f t="shared" si="0"/>
        <v>0</v>
      </c>
      <c r="H12">
        <f t="shared" si="1"/>
        <v>0</v>
      </c>
      <c r="I12">
        <f t="shared" si="2"/>
        <v>1</v>
      </c>
      <c r="J12">
        <f t="shared" si="3"/>
        <v>0</v>
      </c>
      <c r="K12">
        <f t="shared" si="4"/>
        <v>0</v>
      </c>
      <c r="L12">
        <f t="shared" si="5"/>
        <v>0</v>
      </c>
      <c r="M12">
        <f t="shared" si="6"/>
        <v>0</v>
      </c>
      <c r="N12">
        <f t="shared" si="7"/>
        <v>0</v>
      </c>
    </row>
    <row r="13" spans="1:14" x14ac:dyDescent="0.25">
      <c r="A13" t="s">
        <v>292</v>
      </c>
      <c r="B13" t="s">
        <v>28</v>
      </c>
      <c r="C13" t="s">
        <v>6</v>
      </c>
      <c r="D13" s="1">
        <v>22</v>
      </c>
      <c r="E13" t="s">
        <v>15</v>
      </c>
      <c r="F13" t="s">
        <v>399</v>
      </c>
      <c r="G13">
        <f t="shared" si="0"/>
        <v>0</v>
      </c>
      <c r="H13">
        <f t="shared" si="1"/>
        <v>0</v>
      </c>
      <c r="I13">
        <f t="shared" si="2"/>
        <v>1</v>
      </c>
      <c r="J13">
        <f t="shared" si="3"/>
        <v>0</v>
      </c>
      <c r="K13">
        <f t="shared" si="4"/>
        <v>0</v>
      </c>
      <c r="L13">
        <f t="shared" si="5"/>
        <v>0</v>
      </c>
      <c r="M13">
        <f t="shared" si="6"/>
        <v>0</v>
      </c>
      <c r="N13">
        <f t="shared" si="7"/>
        <v>0</v>
      </c>
    </row>
    <row r="14" spans="1:14" x14ac:dyDescent="0.25">
      <c r="A14" t="s">
        <v>319</v>
      </c>
      <c r="B14" t="s">
        <v>72</v>
      </c>
      <c r="C14" t="s">
        <v>70</v>
      </c>
      <c r="D14" s="1">
        <v>19</v>
      </c>
      <c r="E14" t="s">
        <v>15</v>
      </c>
      <c r="F14" t="s">
        <v>399</v>
      </c>
      <c r="G14">
        <f t="shared" si="0"/>
        <v>0</v>
      </c>
      <c r="H14">
        <f t="shared" si="1"/>
        <v>0</v>
      </c>
      <c r="I14">
        <f t="shared" si="2"/>
        <v>1</v>
      </c>
      <c r="J14">
        <f t="shared" si="3"/>
        <v>0</v>
      </c>
      <c r="K14">
        <f t="shared" si="4"/>
        <v>0</v>
      </c>
      <c r="L14">
        <f t="shared" si="5"/>
        <v>0</v>
      </c>
      <c r="M14">
        <f t="shared" si="6"/>
        <v>0</v>
      </c>
      <c r="N14">
        <f t="shared" si="7"/>
        <v>0</v>
      </c>
    </row>
    <row r="15" spans="1:14" x14ac:dyDescent="0.25">
      <c r="A15" t="s">
        <v>322</v>
      </c>
      <c r="B15" t="s">
        <v>76</v>
      </c>
      <c r="C15" t="s">
        <v>77</v>
      </c>
      <c r="D15" s="1">
        <v>45</v>
      </c>
      <c r="E15" t="s">
        <v>15</v>
      </c>
      <c r="F15" t="s">
        <v>401</v>
      </c>
      <c r="G15">
        <f t="shared" si="0"/>
        <v>0</v>
      </c>
      <c r="H15">
        <f t="shared" si="1"/>
        <v>0</v>
      </c>
      <c r="I15">
        <f t="shared" si="2"/>
        <v>1</v>
      </c>
      <c r="J15">
        <f t="shared" si="3"/>
        <v>0</v>
      </c>
      <c r="K15">
        <f t="shared" si="4"/>
        <v>0</v>
      </c>
      <c r="L15">
        <f t="shared" si="5"/>
        <v>0</v>
      </c>
      <c r="M15">
        <f t="shared" si="6"/>
        <v>0</v>
      </c>
      <c r="N15">
        <f t="shared" si="7"/>
        <v>0</v>
      </c>
    </row>
    <row r="16" spans="1:14" x14ac:dyDescent="0.25">
      <c r="A16" t="s">
        <v>323</v>
      </c>
      <c r="B16" t="s">
        <v>78</v>
      </c>
      <c r="C16" t="s">
        <v>77</v>
      </c>
      <c r="D16" s="1">
        <v>250</v>
      </c>
      <c r="E16" t="s">
        <v>15</v>
      </c>
      <c r="F16" t="s">
        <v>401</v>
      </c>
      <c r="G16">
        <f t="shared" si="0"/>
        <v>0</v>
      </c>
      <c r="H16">
        <f t="shared" si="1"/>
        <v>0</v>
      </c>
      <c r="I16">
        <f t="shared" si="2"/>
        <v>1</v>
      </c>
      <c r="J16">
        <f t="shared" si="3"/>
        <v>0</v>
      </c>
      <c r="K16">
        <f t="shared" si="4"/>
        <v>0</v>
      </c>
      <c r="L16">
        <f t="shared" si="5"/>
        <v>0</v>
      </c>
      <c r="M16">
        <f t="shared" si="6"/>
        <v>0</v>
      </c>
      <c r="N16">
        <f t="shared" si="7"/>
        <v>0</v>
      </c>
    </row>
    <row r="17" spans="1:14" x14ac:dyDescent="0.25">
      <c r="A17" t="s">
        <v>324</v>
      </c>
      <c r="B17" t="s">
        <v>79</v>
      </c>
      <c r="C17" t="s">
        <v>77</v>
      </c>
      <c r="D17" s="1">
        <v>50</v>
      </c>
      <c r="E17" t="s">
        <v>15</v>
      </c>
      <c r="F17" t="s">
        <v>401</v>
      </c>
      <c r="G17">
        <f t="shared" si="0"/>
        <v>0</v>
      </c>
      <c r="H17">
        <f t="shared" si="1"/>
        <v>0</v>
      </c>
      <c r="I17">
        <f t="shared" si="2"/>
        <v>1</v>
      </c>
      <c r="J17">
        <f t="shared" si="3"/>
        <v>0</v>
      </c>
      <c r="K17">
        <f t="shared" si="4"/>
        <v>0</v>
      </c>
      <c r="L17">
        <f t="shared" si="5"/>
        <v>0</v>
      </c>
      <c r="M17">
        <f t="shared" si="6"/>
        <v>0</v>
      </c>
      <c r="N17">
        <f t="shared" si="7"/>
        <v>0</v>
      </c>
    </row>
    <row r="18" spans="1:14" x14ac:dyDescent="0.25">
      <c r="A18" t="s">
        <v>371</v>
      </c>
      <c r="B18" t="s">
        <v>338</v>
      </c>
      <c r="C18" t="s">
        <v>328</v>
      </c>
      <c r="D18" s="1">
        <v>900</v>
      </c>
      <c r="E18" t="s">
        <v>15</v>
      </c>
      <c r="F18" t="s">
        <v>401</v>
      </c>
      <c r="G18">
        <f t="shared" si="0"/>
        <v>0</v>
      </c>
      <c r="H18">
        <f t="shared" si="1"/>
        <v>0</v>
      </c>
      <c r="I18">
        <f t="shared" si="2"/>
        <v>1</v>
      </c>
      <c r="J18">
        <f t="shared" si="3"/>
        <v>0</v>
      </c>
      <c r="K18">
        <f t="shared" si="4"/>
        <v>0</v>
      </c>
      <c r="L18">
        <f t="shared" si="5"/>
        <v>0</v>
      </c>
      <c r="M18">
        <f t="shared" si="6"/>
        <v>0</v>
      </c>
      <c r="N18">
        <f t="shared" si="7"/>
        <v>0</v>
      </c>
    </row>
    <row r="19" spans="1:14" x14ac:dyDescent="0.25">
      <c r="A19" t="s">
        <v>374</v>
      </c>
      <c r="B19" t="s">
        <v>343</v>
      </c>
      <c r="C19" t="s">
        <v>328</v>
      </c>
      <c r="D19" s="1">
        <v>450</v>
      </c>
      <c r="E19" t="s">
        <v>15</v>
      </c>
      <c r="F19" t="s">
        <v>401</v>
      </c>
      <c r="G19">
        <f t="shared" si="0"/>
        <v>0</v>
      </c>
      <c r="H19">
        <f t="shared" si="1"/>
        <v>0</v>
      </c>
      <c r="I19">
        <f t="shared" si="2"/>
        <v>1</v>
      </c>
      <c r="J19">
        <f t="shared" si="3"/>
        <v>0</v>
      </c>
      <c r="K19">
        <f t="shared" si="4"/>
        <v>0</v>
      </c>
      <c r="L19">
        <f t="shared" si="5"/>
        <v>0</v>
      </c>
      <c r="M19">
        <f t="shared" si="6"/>
        <v>0</v>
      </c>
      <c r="N19">
        <f t="shared" si="7"/>
        <v>0</v>
      </c>
    </row>
    <row r="20" spans="1:14" x14ac:dyDescent="0.25">
      <c r="A20" t="s">
        <v>383</v>
      </c>
      <c r="B20" t="s">
        <v>353</v>
      </c>
      <c r="C20" t="s">
        <v>328</v>
      </c>
      <c r="D20" s="1">
        <v>300</v>
      </c>
      <c r="E20" t="s">
        <v>15</v>
      </c>
      <c r="F20" t="s">
        <v>401</v>
      </c>
      <c r="G20">
        <f t="shared" si="0"/>
        <v>0</v>
      </c>
      <c r="H20">
        <f t="shared" si="1"/>
        <v>0</v>
      </c>
      <c r="I20">
        <f t="shared" si="2"/>
        <v>1</v>
      </c>
      <c r="J20">
        <f t="shared" si="3"/>
        <v>0</v>
      </c>
      <c r="K20">
        <f t="shared" si="4"/>
        <v>0</v>
      </c>
      <c r="L20">
        <f t="shared" si="5"/>
        <v>0</v>
      </c>
      <c r="M20">
        <f t="shared" si="6"/>
        <v>0</v>
      </c>
      <c r="N20">
        <f t="shared" si="7"/>
        <v>0</v>
      </c>
    </row>
    <row r="21" spans="1:14" x14ac:dyDescent="0.25">
      <c r="A21" t="s">
        <v>386</v>
      </c>
      <c r="B21" t="s">
        <v>357</v>
      </c>
      <c r="C21" t="s">
        <v>328</v>
      </c>
      <c r="D21" s="1">
        <v>700</v>
      </c>
      <c r="E21" t="s">
        <v>15</v>
      </c>
      <c r="F21" t="s">
        <v>401</v>
      </c>
      <c r="G21">
        <f t="shared" si="0"/>
        <v>0</v>
      </c>
      <c r="H21">
        <f t="shared" si="1"/>
        <v>0</v>
      </c>
      <c r="I21">
        <f t="shared" si="2"/>
        <v>1</v>
      </c>
      <c r="J21">
        <f t="shared" si="3"/>
        <v>0</v>
      </c>
      <c r="K21">
        <f t="shared" si="4"/>
        <v>0</v>
      </c>
      <c r="L21">
        <f t="shared" si="5"/>
        <v>0</v>
      </c>
      <c r="M21">
        <f t="shared" si="6"/>
        <v>0</v>
      </c>
      <c r="N21">
        <f t="shared" si="7"/>
        <v>0</v>
      </c>
    </row>
    <row r="22" spans="1:14" x14ac:dyDescent="0.25">
      <c r="A22" t="s">
        <v>369</v>
      </c>
      <c r="B22" t="s">
        <v>335</v>
      </c>
      <c r="C22" t="s">
        <v>328</v>
      </c>
      <c r="D22" s="1">
        <v>35</v>
      </c>
      <c r="E22" t="s">
        <v>336</v>
      </c>
      <c r="F22" t="s">
        <v>401</v>
      </c>
      <c r="G22">
        <f t="shared" si="0"/>
        <v>0</v>
      </c>
      <c r="H22">
        <f t="shared" si="1"/>
        <v>0</v>
      </c>
      <c r="I22">
        <f t="shared" si="2"/>
        <v>1</v>
      </c>
      <c r="J22">
        <f t="shared" si="3"/>
        <v>1</v>
      </c>
      <c r="K22">
        <f t="shared" si="4"/>
        <v>0</v>
      </c>
      <c r="L22">
        <f t="shared" si="5"/>
        <v>0</v>
      </c>
      <c r="M22">
        <f t="shared" si="6"/>
        <v>0</v>
      </c>
      <c r="N22">
        <f t="shared" si="7"/>
        <v>1</v>
      </c>
    </row>
    <row r="23" spans="1:14" x14ac:dyDescent="0.25">
      <c r="A23" t="s">
        <v>373</v>
      </c>
      <c r="B23" t="s">
        <v>341</v>
      </c>
      <c r="C23" t="s">
        <v>328</v>
      </c>
      <c r="D23" s="1">
        <v>65</v>
      </c>
      <c r="E23" t="s">
        <v>342</v>
      </c>
      <c r="F23" t="s">
        <v>401</v>
      </c>
      <c r="G23">
        <f t="shared" si="0"/>
        <v>0</v>
      </c>
      <c r="H23">
        <f t="shared" si="1"/>
        <v>0</v>
      </c>
      <c r="I23">
        <f t="shared" si="2"/>
        <v>1</v>
      </c>
      <c r="J23">
        <f t="shared" si="3"/>
        <v>1</v>
      </c>
      <c r="K23">
        <f t="shared" si="4"/>
        <v>0</v>
      </c>
      <c r="L23">
        <f t="shared" si="5"/>
        <v>0</v>
      </c>
      <c r="M23">
        <f t="shared" si="6"/>
        <v>0</v>
      </c>
      <c r="N23">
        <f t="shared" si="7"/>
        <v>0</v>
      </c>
    </row>
    <row r="24" spans="1:14" x14ac:dyDescent="0.25">
      <c r="A24" t="s">
        <v>300</v>
      </c>
      <c r="B24" t="s">
        <v>43</v>
      </c>
      <c r="C24" t="s">
        <v>31</v>
      </c>
      <c r="D24" s="1">
        <v>40</v>
      </c>
      <c r="E24" t="s">
        <v>44</v>
      </c>
      <c r="F24" t="s">
        <v>401</v>
      </c>
      <c r="G24">
        <f t="shared" si="0"/>
        <v>0</v>
      </c>
      <c r="H24">
        <f t="shared" si="1"/>
        <v>0</v>
      </c>
      <c r="I24">
        <f t="shared" si="2"/>
        <v>0</v>
      </c>
      <c r="J24">
        <f t="shared" si="3"/>
        <v>0</v>
      </c>
      <c r="K24">
        <f t="shared" si="4"/>
        <v>0</v>
      </c>
      <c r="L24">
        <f t="shared" si="5"/>
        <v>1</v>
      </c>
      <c r="M24">
        <f t="shared" si="6"/>
        <v>0</v>
      </c>
      <c r="N24">
        <f t="shared" si="7"/>
        <v>0</v>
      </c>
    </row>
    <row r="25" spans="1:14" x14ac:dyDescent="0.25">
      <c r="A25" t="s">
        <v>278</v>
      </c>
      <c r="B25" t="s">
        <v>8</v>
      </c>
      <c r="C25" t="s">
        <v>6</v>
      </c>
      <c r="D25" s="1">
        <v>33</v>
      </c>
      <c r="E25" t="s">
        <v>9</v>
      </c>
      <c r="F25" t="s">
        <v>399</v>
      </c>
      <c r="G25">
        <f t="shared" si="0"/>
        <v>0</v>
      </c>
      <c r="H25">
        <f t="shared" si="1"/>
        <v>0</v>
      </c>
      <c r="I25">
        <f t="shared" si="2"/>
        <v>0</v>
      </c>
      <c r="J25">
        <f t="shared" si="3"/>
        <v>0</v>
      </c>
      <c r="K25">
        <f t="shared" si="4"/>
        <v>1</v>
      </c>
      <c r="L25">
        <f t="shared" si="5"/>
        <v>0</v>
      </c>
      <c r="M25">
        <f t="shared" si="6"/>
        <v>0</v>
      </c>
      <c r="N25">
        <f t="shared" si="7"/>
        <v>0</v>
      </c>
    </row>
    <row r="26" spans="1:14" x14ac:dyDescent="0.25">
      <c r="A26" t="s">
        <v>288</v>
      </c>
      <c r="B26" t="s">
        <v>24</v>
      </c>
      <c r="C26" t="s">
        <v>6</v>
      </c>
      <c r="D26" s="1">
        <v>170</v>
      </c>
      <c r="E26" t="s">
        <v>9</v>
      </c>
      <c r="F26" t="s">
        <v>399</v>
      </c>
      <c r="G26">
        <f t="shared" si="0"/>
        <v>0</v>
      </c>
      <c r="H26">
        <f t="shared" si="1"/>
        <v>0</v>
      </c>
      <c r="I26">
        <f t="shared" si="2"/>
        <v>0</v>
      </c>
      <c r="J26">
        <f t="shared" si="3"/>
        <v>0</v>
      </c>
      <c r="K26">
        <f t="shared" si="4"/>
        <v>1</v>
      </c>
      <c r="L26">
        <f t="shared" si="5"/>
        <v>0</v>
      </c>
      <c r="M26">
        <f t="shared" si="6"/>
        <v>0</v>
      </c>
      <c r="N26">
        <f t="shared" si="7"/>
        <v>0</v>
      </c>
    </row>
    <row r="27" spans="1:14" x14ac:dyDescent="0.25">
      <c r="A27" t="s">
        <v>307</v>
      </c>
      <c r="B27" t="s">
        <v>56</v>
      </c>
      <c r="C27" t="s">
        <v>55</v>
      </c>
      <c r="D27" s="1">
        <v>109</v>
      </c>
      <c r="E27" t="s">
        <v>9</v>
      </c>
      <c r="F27" t="s">
        <v>399</v>
      </c>
      <c r="G27">
        <f t="shared" si="0"/>
        <v>0</v>
      </c>
      <c r="H27">
        <f t="shared" si="1"/>
        <v>0</v>
      </c>
      <c r="I27">
        <f t="shared" si="2"/>
        <v>0</v>
      </c>
      <c r="J27">
        <f t="shared" si="3"/>
        <v>0</v>
      </c>
      <c r="K27">
        <f t="shared" si="4"/>
        <v>1</v>
      </c>
      <c r="L27">
        <f t="shared" si="5"/>
        <v>0</v>
      </c>
      <c r="M27">
        <f t="shared" si="6"/>
        <v>0</v>
      </c>
      <c r="N27">
        <f t="shared" si="7"/>
        <v>0</v>
      </c>
    </row>
    <row r="28" spans="1:14" x14ac:dyDescent="0.25">
      <c r="A28" t="s">
        <v>314</v>
      </c>
      <c r="B28" t="s">
        <v>64</v>
      </c>
      <c r="C28" t="s">
        <v>63</v>
      </c>
      <c r="D28" s="1">
        <v>60</v>
      </c>
      <c r="E28" t="s">
        <v>9</v>
      </c>
      <c r="F28" t="s">
        <v>401</v>
      </c>
      <c r="G28">
        <f t="shared" si="0"/>
        <v>0</v>
      </c>
      <c r="H28">
        <f t="shared" si="1"/>
        <v>0</v>
      </c>
      <c r="I28">
        <f t="shared" si="2"/>
        <v>0</v>
      </c>
      <c r="J28">
        <f t="shared" si="3"/>
        <v>0</v>
      </c>
      <c r="K28">
        <f t="shared" si="4"/>
        <v>1</v>
      </c>
      <c r="L28">
        <f t="shared" si="5"/>
        <v>0</v>
      </c>
      <c r="M28">
        <f t="shared" si="6"/>
        <v>0</v>
      </c>
      <c r="N28">
        <f t="shared" si="7"/>
        <v>0</v>
      </c>
    </row>
    <row r="29" spans="1:14" x14ac:dyDescent="0.25">
      <c r="A29" t="s">
        <v>378</v>
      </c>
      <c r="B29" t="s">
        <v>347</v>
      </c>
      <c r="C29" t="s">
        <v>328</v>
      </c>
      <c r="D29" s="1">
        <v>800</v>
      </c>
      <c r="E29" t="s">
        <v>9</v>
      </c>
      <c r="F29" t="s">
        <v>401</v>
      </c>
      <c r="G29">
        <f t="shared" si="0"/>
        <v>0</v>
      </c>
      <c r="H29">
        <f t="shared" si="1"/>
        <v>0</v>
      </c>
      <c r="I29">
        <f t="shared" si="2"/>
        <v>0</v>
      </c>
      <c r="J29">
        <f t="shared" si="3"/>
        <v>0</v>
      </c>
      <c r="K29">
        <f t="shared" si="4"/>
        <v>1</v>
      </c>
      <c r="L29">
        <f t="shared" si="5"/>
        <v>0</v>
      </c>
      <c r="M29">
        <f t="shared" si="6"/>
        <v>0</v>
      </c>
      <c r="N29">
        <f t="shared" si="7"/>
        <v>0</v>
      </c>
    </row>
    <row r="30" spans="1:14" x14ac:dyDescent="0.25">
      <c r="A30" t="s">
        <v>367</v>
      </c>
      <c r="B30" t="s">
        <v>332</v>
      </c>
      <c r="C30" t="s">
        <v>328</v>
      </c>
      <c r="D30" s="1">
        <v>400</v>
      </c>
      <c r="E30" t="s">
        <v>333</v>
      </c>
      <c r="F30" t="s">
        <v>401</v>
      </c>
      <c r="G30">
        <f t="shared" si="0"/>
        <v>0</v>
      </c>
      <c r="H30">
        <f t="shared" si="1"/>
        <v>0</v>
      </c>
      <c r="I30">
        <f t="shared" si="2"/>
        <v>0</v>
      </c>
      <c r="J30">
        <f t="shared" si="3"/>
        <v>0</v>
      </c>
      <c r="K30">
        <f t="shared" si="4"/>
        <v>1</v>
      </c>
      <c r="L30">
        <f t="shared" si="5"/>
        <v>1</v>
      </c>
      <c r="M30">
        <f t="shared" si="6"/>
        <v>0</v>
      </c>
      <c r="N30">
        <f t="shared" si="7"/>
        <v>0</v>
      </c>
    </row>
    <row r="31" spans="1:14" x14ac:dyDescent="0.25">
      <c r="A31" t="s">
        <v>377</v>
      </c>
      <c r="B31" t="s">
        <v>346</v>
      </c>
      <c r="C31" t="s">
        <v>328</v>
      </c>
      <c r="D31" s="1">
        <v>80</v>
      </c>
      <c r="E31" t="s">
        <v>333</v>
      </c>
      <c r="F31" t="s">
        <v>401</v>
      </c>
      <c r="G31">
        <f t="shared" si="0"/>
        <v>0</v>
      </c>
      <c r="H31">
        <f t="shared" si="1"/>
        <v>0</v>
      </c>
      <c r="I31">
        <f t="shared" si="2"/>
        <v>0</v>
      </c>
      <c r="J31">
        <f t="shared" si="3"/>
        <v>0</v>
      </c>
      <c r="K31">
        <f t="shared" si="4"/>
        <v>1</v>
      </c>
      <c r="L31">
        <f t="shared" si="5"/>
        <v>1</v>
      </c>
      <c r="M31">
        <f t="shared" si="6"/>
        <v>0</v>
      </c>
      <c r="N31">
        <f t="shared" si="7"/>
        <v>0</v>
      </c>
    </row>
    <row r="32" spans="1:14" x14ac:dyDescent="0.25">
      <c r="A32" t="s">
        <v>284</v>
      </c>
      <c r="B32" t="s">
        <v>18</v>
      </c>
      <c r="C32" t="s">
        <v>6</v>
      </c>
      <c r="D32" s="1">
        <v>309</v>
      </c>
      <c r="E32" t="s">
        <v>19</v>
      </c>
      <c r="F32" t="s">
        <v>399</v>
      </c>
      <c r="G32">
        <f t="shared" si="0"/>
        <v>0</v>
      </c>
      <c r="H32">
        <f t="shared" si="1"/>
        <v>0</v>
      </c>
      <c r="I32">
        <f t="shared" si="2"/>
        <v>0</v>
      </c>
      <c r="J32">
        <f t="shared" si="3"/>
        <v>0</v>
      </c>
      <c r="K32">
        <f t="shared" si="4"/>
        <v>0</v>
      </c>
      <c r="L32">
        <f t="shared" si="5"/>
        <v>0</v>
      </c>
      <c r="M32">
        <f t="shared" si="6"/>
        <v>0</v>
      </c>
      <c r="N32">
        <f t="shared" si="7"/>
        <v>1</v>
      </c>
    </row>
    <row r="33" spans="1:14" x14ac:dyDescent="0.25">
      <c r="A33" t="s">
        <v>289</v>
      </c>
      <c r="B33" t="s">
        <v>25</v>
      </c>
      <c r="C33" t="s">
        <v>6</v>
      </c>
      <c r="D33" s="1">
        <v>126</v>
      </c>
      <c r="E33" t="s">
        <v>19</v>
      </c>
      <c r="F33" t="s">
        <v>399</v>
      </c>
      <c r="G33">
        <f t="shared" si="0"/>
        <v>0</v>
      </c>
      <c r="H33">
        <f t="shared" si="1"/>
        <v>0</v>
      </c>
      <c r="I33">
        <f t="shared" si="2"/>
        <v>0</v>
      </c>
      <c r="J33">
        <f t="shared" si="3"/>
        <v>0</v>
      </c>
      <c r="K33">
        <f t="shared" si="4"/>
        <v>0</v>
      </c>
      <c r="L33">
        <f t="shared" si="5"/>
        <v>0</v>
      </c>
      <c r="M33">
        <f t="shared" si="6"/>
        <v>0</v>
      </c>
      <c r="N33">
        <f t="shared" si="7"/>
        <v>1</v>
      </c>
    </row>
    <row r="34" spans="1:14" x14ac:dyDescent="0.25">
      <c r="A34" t="s">
        <v>290</v>
      </c>
      <c r="B34" t="s">
        <v>26</v>
      </c>
      <c r="C34" t="s">
        <v>6</v>
      </c>
      <c r="D34" s="1">
        <v>664</v>
      </c>
      <c r="E34" t="s">
        <v>19</v>
      </c>
      <c r="F34" t="s">
        <v>399</v>
      </c>
      <c r="G34">
        <f t="shared" si="0"/>
        <v>0</v>
      </c>
      <c r="H34">
        <f t="shared" si="1"/>
        <v>0</v>
      </c>
      <c r="I34">
        <f t="shared" si="2"/>
        <v>0</v>
      </c>
      <c r="J34">
        <f t="shared" si="3"/>
        <v>0</v>
      </c>
      <c r="K34">
        <f t="shared" si="4"/>
        <v>0</v>
      </c>
      <c r="L34">
        <f t="shared" si="5"/>
        <v>0</v>
      </c>
      <c r="M34">
        <f t="shared" si="6"/>
        <v>0</v>
      </c>
      <c r="N34">
        <f t="shared" si="7"/>
        <v>1</v>
      </c>
    </row>
    <row r="35" spans="1:14" x14ac:dyDescent="0.25">
      <c r="A35" t="s">
        <v>315</v>
      </c>
      <c r="B35" t="s">
        <v>65</v>
      </c>
      <c r="C35" t="s">
        <v>63</v>
      </c>
      <c r="D35" s="1">
        <v>100</v>
      </c>
      <c r="E35" t="s">
        <v>19</v>
      </c>
      <c r="F35" t="s">
        <v>401</v>
      </c>
      <c r="G35">
        <f t="shared" si="0"/>
        <v>0</v>
      </c>
      <c r="H35">
        <f t="shared" si="1"/>
        <v>0</v>
      </c>
      <c r="I35">
        <f t="shared" si="2"/>
        <v>0</v>
      </c>
      <c r="J35">
        <f t="shared" si="3"/>
        <v>0</v>
      </c>
      <c r="K35">
        <f t="shared" si="4"/>
        <v>0</v>
      </c>
      <c r="L35">
        <f t="shared" si="5"/>
        <v>0</v>
      </c>
      <c r="M35">
        <f t="shared" si="6"/>
        <v>0</v>
      </c>
      <c r="N35">
        <f t="shared" si="7"/>
        <v>1</v>
      </c>
    </row>
    <row r="36" spans="1:14" x14ac:dyDescent="0.25">
      <c r="A36" t="s">
        <v>364</v>
      </c>
      <c r="B36" t="s">
        <v>327</v>
      </c>
      <c r="C36" t="s">
        <v>328</v>
      </c>
      <c r="D36" s="1">
        <v>1500</v>
      </c>
      <c r="E36" t="s">
        <v>19</v>
      </c>
      <c r="F36" t="s">
        <v>401</v>
      </c>
      <c r="G36">
        <f t="shared" si="0"/>
        <v>0</v>
      </c>
      <c r="H36">
        <f t="shared" si="1"/>
        <v>0</v>
      </c>
      <c r="I36">
        <f t="shared" si="2"/>
        <v>0</v>
      </c>
      <c r="J36">
        <f t="shared" si="3"/>
        <v>0</v>
      </c>
      <c r="K36">
        <f t="shared" si="4"/>
        <v>0</v>
      </c>
      <c r="L36">
        <f t="shared" si="5"/>
        <v>0</v>
      </c>
      <c r="M36">
        <f t="shared" si="6"/>
        <v>0</v>
      </c>
      <c r="N36">
        <f t="shared" si="7"/>
        <v>1</v>
      </c>
    </row>
    <row r="37" spans="1:14" x14ac:dyDescent="0.25">
      <c r="A37" t="s">
        <v>375</v>
      </c>
      <c r="B37" t="s">
        <v>344</v>
      </c>
      <c r="C37" t="s">
        <v>328</v>
      </c>
      <c r="D37" s="1">
        <v>650</v>
      </c>
      <c r="E37" t="s">
        <v>19</v>
      </c>
      <c r="F37" t="s">
        <v>401</v>
      </c>
      <c r="G37">
        <f t="shared" ref="G37:G68" si="8">IF(COUNTIF($E37,"*Plaza*"),1,0)</f>
        <v>0</v>
      </c>
      <c r="H37">
        <f t="shared" ref="H37:H68" si="9">IF(COUNTIF($E37,"*Peaceful Meadow*"),1,0)</f>
        <v>0</v>
      </c>
      <c r="I37">
        <f t="shared" ref="I37:I68" si="10">IF(COUNTIF($E37,"*Dazzle Beach*"),1,0)</f>
        <v>0</v>
      </c>
      <c r="J37">
        <f t="shared" ref="J37:J68" si="11">IF(COUNTIF($E37,"*Glade of Trust*"),1,0)</f>
        <v>0</v>
      </c>
      <c r="K37">
        <f t="shared" ref="K37:K68" si="12">IF(COUNTIF($E37,"*Forest of Valor*"),1,0)</f>
        <v>0</v>
      </c>
      <c r="L37">
        <f t="shared" ref="L37:L68" si="13">IF(COUNTIF($E37,"*Sunlit Plateau*"),1,0)</f>
        <v>0</v>
      </c>
      <c r="M37">
        <f t="shared" ref="M37:M68" si="14">IF(COUNTIF($E37,"*Frosted Heights*"),1,0)</f>
        <v>0</v>
      </c>
      <c r="N37">
        <f t="shared" ref="N37:N68" si="15">IF(COUNTIF($E37,"*Forgotten Lands*"),1,0)</f>
        <v>1</v>
      </c>
    </row>
    <row r="38" spans="1:14" x14ac:dyDescent="0.25">
      <c r="A38" t="s">
        <v>384</v>
      </c>
      <c r="B38" t="s">
        <v>354</v>
      </c>
      <c r="C38" t="s">
        <v>328</v>
      </c>
      <c r="D38" s="1">
        <v>200</v>
      </c>
      <c r="E38" t="s">
        <v>19</v>
      </c>
      <c r="F38" t="s">
        <v>401</v>
      </c>
      <c r="G38">
        <f t="shared" si="8"/>
        <v>0</v>
      </c>
      <c r="H38">
        <f t="shared" si="9"/>
        <v>0</v>
      </c>
      <c r="I38">
        <f t="shared" si="10"/>
        <v>0</v>
      </c>
      <c r="J38">
        <f t="shared" si="11"/>
        <v>0</v>
      </c>
      <c r="K38">
        <f t="shared" si="12"/>
        <v>0</v>
      </c>
      <c r="L38">
        <f t="shared" si="13"/>
        <v>0</v>
      </c>
      <c r="M38">
        <f t="shared" si="14"/>
        <v>0</v>
      </c>
      <c r="N38">
        <f t="shared" si="15"/>
        <v>1</v>
      </c>
    </row>
    <row r="39" spans="1:14" x14ac:dyDescent="0.25">
      <c r="A39" t="s">
        <v>388</v>
      </c>
      <c r="B39" t="s">
        <v>360</v>
      </c>
      <c r="C39" t="s">
        <v>328</v>
      </c>
      <c r="D39" s="1">
        <v>95</v>
      </c>
      <c r="E39" t="s">
        <v>361</v>
      </c>
      <c r="F39" t="s">
        <v>401</v>
      </c>
      <c r="G39">
        <f t="shared" si="8"/>
        <v>0</v>
      </c>
      <c r="H39">
        <f t="shared" si="9"/>
        <v>0</v>
      </c>
      <c r="I39">
        <f t="shared" si="10"/>
        <v>0</v>
      </c>
      <c r="J39">
        <f t="shared" si="11"/>
        <v>1</v>
      </c>
      <c r="K39">
        <f t="shared" si="12"/>
        <v>0</v>
      </c>
      <c r="L39">
        <f t="shared" si="13"/>
        <v>0</v>
      </c>
      <c r="M39">
        <f t="shared" si="14"/>
        <v>0</v>
      </c>
      <c r="N39">
        <f t="shared" si="15"/>
        <v>1</v>
      </c>
    </row>
    <row r="40" spans="1:14" x14ac:dyDescent="0.25">
      <c r="A40" t="s">
        <v>277</v>
      </c>
      <c r="B40" t="s">
        <v>5</v>
      </c>
      <c r="C40" t="s">
        <v>6</v>
      </c>
      <c r="D40" s="1">
        <v>133</v>
      </c>
      <c r="E40" t="s">
        <v>7</v>
      </c>
      <c r="F40" t="s">
        <v>399</v>
      </c>
      <c r="G40">
        <f t="shared" si="8"/>
        <v>0</v>
      </c>
      <c r="H40">
        <f t="shared" si="9"/>
        <v>0</v>
      </c>
      <c r="I40">
        <f t="shared" si="10"/>
        <v>0</v>
      </c>
      <c r="J40">
        <f t="shared" si="11"/>
        <v>0</v>
      </c>
      <c r="K40">
        <f t="shared" si="12"/>
        <v>0</v>
      </c>
      <c r="L40">
        <f t="shared" si="13"/>
        <v>0</v>
      </c>
      <c r="M40">
        <f t="shared" si="14"/>
        <v>1</v>
      </c>
      <c r="N40">
        <f t="shared" si="15"/>
        <v>0</v>
      </c>
    </row>
    <row r="41" spans="1:14" x14ac:dyDescent="0.25">
      <c r="A41" t="s">
        <v>282</v>
      </c>
      <c r="B41" t="s">
        <v>16</v>
      </c>
      <c r="C41" t="s">
        <v>6</v>
      </c>
      <c r="D41" s="1">
        <v>159</v>
      </c>
      <c r="E41" t="s">
        <v>7</v>
      </c>
      <c r="F41" t="s">
        <v>399</v>
      </c>
      <c r="G41">
        <f t="shared" si="8"/>
        <v>0</v>
      </c>
      <c r="H41">
        <f t="shared" si="9"/>
        <v>0</v>
      </c>
      <c r="I41">
        <f t="shared" si="10"/>
        <v>0</v>
      </c>
      <c r="J41">
        <f t="shared" si="11"/>
        <v>0</v>
      </c>
      <c r="K41">
        <f t="shared" si="12"/>
        <v>0</v>
      </c>
      <c r="L41">
        <f t="shared" si="13"/>
        <v>0</v>
      </c>
      <c r="M41">
        <f t="shared" si="14"/>
        <v>1</v>
      </c>
      <c r="N41">
        <f t="shared" si="15"/>
        <v>0</v>
      </c>
    </row>
    <row r="42" spans="1:14" x14ac:dyDescent="0.25">
      <c r="A42" t="s">
        <v>283</v>
      </c>
      <c r="B42" t="s">
        <v>17</v>
      </c>
      <c r="C42" t="s">
        <v>6</v>
      </c>
      <c r="D42" s="1">
        <v>308</v>
      </c>
      <c r="E42" t="s">
        <v>7</v>
      </c>
      <c r="F42" t="s">
        <v>399</v>
      </c>
      <c r="G42">
        <f t="shared" si="8"/>
        <v>0</v>
      </c>
      <c r="H42">
        <f t="shared" si="9"/>
        <v>0</v>
      </c>
      <c r="I42">
        <f t="shared" si="10"/>
        <v>0</v>
      </c>
      <c r="J42">
        <f t="shared" si="11"/>
        <v>0</v>
      </c>
      <c r="K42">
        <f t="shared" si="12"/>
        <v>0</v>
      </c>
      <c r="L42">
        <f t="shared" si="13"/>
        <v>0</v>
      </c>
      <c r="M42">
        <f t="shared" si="14"/>
        <v>1</v>
      </c>
      <c r="N42">
        <f t="shared" si="15"/>
        <v>0</v>
      </c>
    </row>
    <row r="43" spans="1:14" x14ac:dyDescent="0.25">
      <c r="A43" t="s">
        <v>316</v>
      </c>
      <c r="B43" t="s">
        <v>66</v>
      </c>
      <c r="C43" t="s">
        <v>63</v>
      </c>
      <c r="D43" s="1">
        <v>80</v>
      </c>
      <c r="E43" t="s">
        <v>7</v>
      </c>
      <c r="F43" t="s">
        <v>401</v>
      </c>
      <c r="G43">
        <f t="shared" si="8"/>
        <v>0</v>
      </c>
      <c r="H43">
        <f t="shared" si="9"/>
        <v>0</v>
      </c>
      <c r="I43">
        <f t="shared" si="10"/>
        <v>0</v>
      </c>
      <c r="J43">
        <f t="shared" si="11"/>
        <v>0</v>
      </c>
      <c r="K43">
        <f t="shared" si="12"/>
        <v>0</v>
      </c>
      <c r="L43">
        <f t="shared" si="13"/>
        <v>0</v>
      </c>
      <c r="M43">
        <f t="shared" si="14"/>
        <v>1</v>
      </c>
      <c r="N43">
        <f t="shared" si="15"/>
        <v>0</v>
      </c>
    </row>
    <row r="44" spans="1:14" x14ac:dyDescent="0.25">
      <c r="A44" t="s">
        <v>370</v>
      </c>
      <c r="B44" t="s">
        <v>337</v>
      </c>
      <c r="C44" t="s">
        <v>328</v>
      </c>
      <c r="D44" s="1">
        <v>600</v>
      </c>
      <c r="E44" t="s">
        <v>7</v>
      </c>
      <c r="F44" t="s">
        <v>401</v>
      </c>
      <c r="G44">
        <f t="shared" si="8"/>
        <v>0</v>
      </c>
      <c r="H44">
        <f t="shared" si="9"/>
        <v>0</v>
      </c>
      <c r="I44">
        <f t="shared" si="10"/>
        <v>0</v>
      </c>
      <c r="J44">
        <f t="shared" si="11"/>
        <v>0</v>
      </c>
      <c r="K44">
        <f t="shared" si="12"/>
        <v>0</v>
      </c>
      <c r="L44">
        <f t="shared" si="13"/>
        <v>0</v>
      </c>
      <c r="M44">
        <f t="shared" si="14"/>
        <v>1</v>
      </c>
      <c r="N44">
        <f t="shared" si="15"/>
        <v>0</v>
      </c>
    </row>
    <row r="45" spans="1:14" x14ac:dyDescent="0.25">
      <c r="A45" t="s">
        <v>390</v>
      </c>
      <c r="B45" t="s">
        <v>363</v>
      </c>
      <c r="C45" t="s">
        <v>328</v>
      </c>
      <c r="D45" s="1">
        <v>1250</v>
      </c>
      <c r="E45" t="s">
        <v>7</v>
      </c>
      <c r="F45" t="s">
        <v>401</v>
      </c>
      <c r="G45">
        <f t="shared" si="8"/>
        <v>0</v>
      </c>
      <c r="H45">
        <f t="shared" si="9"/>
        <v>0</v>
      </c>
      <c r="I45">
        <f t="shared" si="10"/>
        <v>0</v>
      </c>
      <c r="J45">
        <f t="shared" si="11"/>
        <v>0</v>
      </c>
      <c r="K45">
        <f t="shared" si="12"/>
        <v>0</v>
      </c>
      <c r="L45">
        <f t="shared" si="13"/>
        <v>0</v>
      </c>
      <c r="M45">
        <f t="shared" si="14"/>
        <v>1</v>
      </c>
      <c r="N45">
        <f t="shared" si="15"/>
        <v>0</v>
      </c>
    </row>
    <row r="46" spans="1:14" x14ac:dyDescent="0.25">
      <c r="A46" t="s">
        <v>381</v>
      </c>
      <c r="B46" t="s">
        <v>350</v>
      </c>
      <c r="C46" t="s">
        <v>328</v>
      </c>
      <c r="D46" s="1">
        <v>150</v>
      </c>
      <c r="E46" t="s">
        <v>351</v>
      </c>
      <c r="F46" t="s">
        <v>401</v>
      </c>
      <c r="G46">
        <f t="shared" si="8"/>
        <v>0</v>
      </c>
      <c r="H46">
        <f t="shared" si="9"/>
        <v>0</v>
      </c>
      <c r="I46">
        <f t="shared" si="10"/>
        <v>0</v>
      </c>
      <c r="J46">
        <f t="shared" si="11"/>
        <v>0</v>
      </c>
      <c r="K46">
        <f t="shared" si="12"/>
        <v>0</v>
      </c>
      <c r="L46">
        <f t="shared" si="13"/>
        <v>1</v>
      </c>
      <c r="M46">
        <f t="shared" si="14"/>
        <v>1</v>
      </c>
      <c r="N46">
        <f t="shared" si="15"/>
        <v>0</v>
      </c>
    </row>
    <row r="47" spans="1:14" x14ac:dyDescent="0.25">
      <c r="A47" t="s">
        <v>286</v>
      </c>
      <c r="B47" t="s">
        <v>21</v>
      </c>
      <c r="C47" t="s">
        <v>6</v>
      </c>
      <c r="D47" s="1">
        <v>30</v>
      </c>
      <c r="E47" t="s">
        <v>22</v>
      </c>
      <c r="F47" t="s">
        <v>401</v>
      </c>
      <c r="G47">
        <f t="shared" si="8"/>
        <v>0</v>
      </c>
      <c r="H47">
        <f t="shared" si="9"/>
        <v>0</v>
      </c>
      <c r="I47">
        <f t="shared" si="10"/>
        <v>0</v>
      </c>
      <c r="J47">
        <f t="shared" si="11"/>
        <v>1</v>
      </c>
      <c r="K47">
        <f t="shared" si="12"/>
        <v>0</v>
      </c>
      <c r="L47">
        <f t="shared" si="13"/>
        <v>0</v>
      </c>
      <c r="M47">
        <f t="shared" si="14"/>
        <v>0</v>
      </c>
      <c r="N47">
        <f t="shared" si="15"/>
        <v>0</v>
      </c>
    </row>
    <row r="48" spans="1:14" x14ac:dyDescent="0.25">
      <c r="A48" t="s">
        <v>287</v>
      </c>
      <c r="B48" t="s">
        <v>23</v>
      </c>
      <c r="C48" t="s">
        <v>6</v>
      </c>
      <c r="D48" s="1">
        <v>114</v>
      </c>
      <c r="E48" t="s">
        <v>22</v>
      </c>
      <c r="F48" t="s">
        <v>399</v>
      </c>
      <c r="G48">
        <f t="shared" si="8"/>
        <v>0</v>
      </c>
      <c r="H48">
        <f t="shared" si="9"/>
        <v>0</v>
      </c>
      <c r="I48">
        <f t="shared" si="10"/>
        <v>0</v>
      </c>
      <c r="J48">
        <f t="shared" si="11"/>
        <v>1</v>
      </c>
      <c r="K48">
        <f t="shared" si="12"/>
        <v>0</v>
      </c>
      <c r="L48">
        <f t="shared" si="13"/>
        <v>0</v>
      </c>
      <c r="M48">
        <f t="shared" si="14"/>
        <v>0</v>
      </c>
      <c r="N48">
        <f t="shared" si="15"/>
        <v>0</v>
      </c>
    </row>
    <row r="49" spans="1:14" x14ac:dyDescent="0.25">
      <c r="A49" t="s">
        <v>291</v>
      </c>
      <c r="B49" t="s">
        <v>27</v>
      </c>
      <c r="C49" t="s">
        <v>6</v>
      </c>
      <c r="D49" s="1">
        <v>41</v>
      </c>
      <c r="E49" t="s">
        <v>22</v>
      </c>
      <c r="F49" t="s">
        <v>399</v>
      </c>
      <c r="G49">
        <f t="shared" si="8"/>
        <v>0</v>
      </c>
      <c r="H49">
        <f t="shared" si="9"/>
        <v>0</v>
      </c>
      <c r="I49">
        <f t="shared" si="10"/>
        <v>0</v>
      </c>
      <c r="J49">
        <f t="shared" si="11"/>
        <v>1</v>
      </c>
      <c r="K49">
        <f t="shared" si="12"/>
        <v>0</v>
      </c>
      <c r="L49">
        <f t="shared" si="13"/>
        <v>0</v>
      </c>
      <c r="M49">
        <f t="shared" si="14"/>
        <v>0</v>
      </c>
      <c r="N49">
        <f t="shared" si="15"/>
        <v>0</v>
      </c>
    </row>
    <row r="50" spans="1:14" x14ac:dyDescent="0.25">
      <c r="A50" t="s">
        <v>304</v>
      </c>
      <c r="B50" t="s">
        <v>51</v>
      </c>
      <c r="C50" t="s">
        <v>52</v>
      </c>
      <c r="D50" s="1">
        <v>61</v>
      </c>
      <c r="E50" t="s">
        <v>22</v>
      </c>
      <c r="F50" t="s">
        <v>399</v>
      </c>
      <c r="G50">
        <f t="shared" si="8"/>
        <v>0</v>
      </c>
      <c r="H50">
        <f t="shared" si="9"/>
        <v>0</v>
      </c>
      <c r="I50">
        <f t="shared" si="10"/>
        <v>0</v>
      </c>
      <c r="J50">
        <f t="shared" si="11"/>
        <v>1</v>
      </c>
      <c r="K50">
        <f t="shared" si="12"/>
        <v>0</v>
      </c>
      <c r="L50">
        <f t="shared" si="13"/>
        <v>0</v>
      </c>
      <c r="M50">
        <f t="shared" si="14"/>
        <v>0</v>
      </c>
      <c r="N50">
        <f t="shared" si="15"/>
        <v>0</v>
      </c>
    </row>
    <row r="51" spans="1:14" x14ac:dyDescent="0.25">
      <c r="A51" t="s">
        <v>376</v>
      </c>
      <c r="B51" t="s">
        <v>345</v>
      </c>
      <c r="C51" t="s">
        <v>328</v>
      </c>
      <c r="D51" s="1">
        <v>950</v>
      </c>
      <c r="E51" t="s">
        <v>22</v>
      </c>
      <c r="F51" t="s">
        <v>401</v>
      </c>
      <c r="G51">
        <f t="shared" si="8"/>
        <v>0</v>
      </c>
      <c r="H51">
        <f t="shared" si="9"/>
        <v>0</v>
      </c>
      <c r="I51">
        <f t="shared" si="10"/>
        <v>0</v>
      </c>
      <c r="J51">
        <f t="shared" si="11"/>
        <v>1</v>
      </c>
      <c r="K51">
        <f t="shared" si="12"/>
        <v>0</v>
      </c>
      <c r="L51">
        <f t="shared" si="13"/>
        <v>0</v>
      </c>
      <c r="M51">
        <f t="shared" si="14"/>
        <v>0</v>
      </c>
      <c r="N51">
        <f t="shared" si="15"/>
        <v>0</v>
      </c>
    </row>
    <row r="52" spans="1:14" x14ac:dyDescent="0.25">
      <c r="A52" t="s">
        <v>385</v>
      </c>
      <c r="B52" t="s">
        <v>355</v>
      </c>
      <c r="C52" t="s">
        <v>328</v>
      </c>
      <c r="D52" s="1">
        <v>500</v>
      </c>
      <c r="E52" t="s">
        <v>356</v>
      </c>
      <c r="F52" t="s">
        <v>401</v>
      </c>
      <c r="G52">
        <f t="shared" si="8"/>
        <v>0</v>
      </c>
      <c r="H52">
        <f t="shared" si="9"/>
        <v>0</v>
      </c>
      <c r="I52">
        <f t="shared" si="10"/>
        <v>0</v>
      </c>
      <c r="J52">
        <f t="shared" si="11"/>
        <v>1</v>
      </c>
      <c r="K52">
        <f t="shared" si="12"/>
        <v>0</v>
      </c>
      <c r="L52">
        <f t="shared" si="13"/>
        <v>0</v>
      </c>
      <c r="M52">
        <f t="shared" si="14"/>
        <v>0</v>
      </c>
      <c r="N52">
        <f t="shared" si="15"/>
        <v>1</v>
      </c>
    </row>
    <row r="53" spans="1:14" x14ac:dyDescent="0.25">
      <c r="A53" t="s">
        <v>301</v>
      </c>
      <c r="B53" t="s">
        <v>45</v>
      </c>
      <c r="C53" t="s">
        <v>31</v>
      </c>
      <c r="D53" s="1">
        <v>50</v>
      </c>
      <c r="E53" t="s">
        <v>46</v>
      </c>
      <c r="F53" t="s">
        <v>401</v>
      </c>
      <c r="G53">
        <f t="shared" si="8"/>
        <v>0</v>
      </c>
      <c r="H53">
        <f t="shared" si="9"/>
        <v>0</v>
      </c>
      <c r="I53">
        <f t="shared" si="10"/>
        <v>0</v>
      </c>
      <c r="J53">
        <f t="shared" si="11"/>
        <v>0</v>
      </c>
      <c r="K53">
        <f t="shared" si="12"/>
        <v>0</v>
      </c>
      <c r="L53">
        <f t="shared" si="13"/>
        <v>0</v>
      </c>
      <c r="M53">
        <f t="shared" si="14"/>
        <v>1</v>
      </c>
      <c r="N53">
        <f t="shared" si="15"/>
        <v>1</v>
      </c>
    </row>
    <row r="54" spans="1:14" x14ac:dyDescent="0.25">
      <c r="A54" t="s">
        <v>302</v>
      </c>
      <c r="B54" t="s">
        <v>47</v>
      </c>
      <c r="C54" t="s">
        <v>31</v>
      </c>
      <c r="D54" s="1">
        <v>33</v>
      </c>
      <c r="E54" t="s">
        <v>48</v>
      </c>
      <c r="F54" t="s">
        <v>401</v>
      </c>
      <c r="G54">
        <f t="shared" si="8"/>
        <v>0</v>
      </c>
      <c r="H54">
        <f t="shared" si="9"/>
        <v>0</v>
      </c>
      <c r="I54">
        <f t="shared" si="10"/>
        <v>0</v>
      </c>
      <c r="J54">
        <f t="shared" si="11"/>
        <v>1</v>
      </c>
      <c r="K54">
        <f t="shared" si="12"/>
        <v>1</v>
      </c>
      <c r="L54">
        <f t="shared" si="13"/>
        <v>0</v>
      </c>
      <c r="M54">
        <f t="shared" si="14"/>
        <v>0</v>
      </c>
      <c r="N54">
        <f t="shared" si="15"/>
        <v>0</v>
      </c>
    </row>
    <row r="55" spans="1:14" x14ac:dyDescent="0.25">
      <c r="A55" t="s">
        <v>279</v>
      </c>
      <c r="B55" t="s">
        <v>10</v>
      </c>
      <c r="C55" t="s">
        <v>6</v>
      </c>
      <c r="D55" s="1">
        <v>44</v>
      </c>
      <c r="E55" t="s">
        <v>11</v>
      </c>
      <c r="F55" t="s">
        <v>399</v>
      </c>
      <c r="G55">
        <f t="shared" si="8"/>
        <v>0</v>
      </c>
      <c r="H55">
        <f t="shared" si="9"/>
        <v>1</v>
      </c>
      <c r="I55">
        <f t="shared" si="10"/>
        <v>0</v>
      </c>
      <c r="J55">
        <f t="shared" si="11"/>
        <v>0</v>
      </c>
      <c r="K55">
        <f t="shared" si="12"/>
        <v>0</v>
      </c>
      <c r="L55">
        <f t="shared" si="13"/>
        <v>0</v>
      </c>
      <c r="M55">
        <f t="shared" si="14"/>
        <v>0</v>
      </c>
      <c r="N55">
        <f t="shared" si="15"/>
        <v>0</v>
      </c>
    </row>
    <row r="56" spans="1:14" x14ac:dyDescent="0.25">
      <c r="A56" t="s">
        <v>285</v>
      </c>
      <c r="B56" t="s">
        <v>20</v>
      </c>
      <c r="C56" t="s">
        <v>6</v>
      </c>
      <c r="D56" s="1">
        <v>8</v>
      </c>
      <c r="E56" t="s">
        <v>11</v>
      </c>
      <c r="F56" t="s">
        <v>399</v>
      </c>
      <c r="G56">
        <f t="shared" si="8"/>
        <v>0</v>
      </c>
      <c r="H56">
        <f t="shared" si="9"/>
        <v>1</v>
      </c>
      <c r="I56">
        <f t="shared" si="10"/>
        <v>0</v>
      </c>
      <c r="J56">
        <f t="shared" si="11"/>
        <v>0</v>
      </c>
      <c r="K56">
        <f t="shared" si="12"/>
        <v>0</v>
      </c>
      <c r="L56">
        <f t="shared" si="13"/>
        <v>0</v>
      </c>
      <c r="M56">
        <f t="shared" si="14"/>
        <v>0</v>
      </c>
      <c r="N56">
        <f t="shared" si="15"/>
        <v>0</v>
      </c>
    </row>
    <row r="57" spans="1:14" x14ac:dyDescent="0.25">
      <c r="A57" t="s">
        <v>305</v>
      </c>
      <c r="B57" t="s">
        <v>53</v>
      </c>
      <c r="C57" t="s">
        <v>52</v>
      </c>
      <c r="D57" s="1">
        <v>2</v>
      </c>
      <c r="E57" t="s">
        <v>11</v>
      </c>
      <c r="F57" t="s">
        <v>399</v>
      </c>
      <c r="G57">
        <f t="shared" si="8"/>
        <v>0</v>
      </c>
      <c r="H57">
        <f t="shared" si="9"/>
        <v>1</v>
      </c>
      <c r="I57">
        <f t="shared" si="10"/>
        <v>0</v>
      </c>
      <c r="J57">
        <f t="shared" si="11"/>
        <v>0</v>
      </c>
      <c r="K57">
        <f t="shared" si="12"/>
        <v>0</v>
      </c>
      <c r="L57">
        <f t="shared" si="13"/>
        <v>0</v>
      </c>
      <c r="M57">
        <f t="shared" si="14"/>
        <v>0</v>
      </c>
      <c r="N57">
        <f t="shared" si="15"/>
        <v>0</v>
      </c>
    </row>
    <row r="58" spans="1:14" x14ac:dyDescent="0.25">
      <c r="A58" t="s">
        <v>313</v>
      </c>
      <c r="B58" t="s">
        <v>62</v>
      </c>
      <c r="C58" t="s">
        <v>63</v>
      </c>
      <c r="D58" s="1">
        <v>25</v>
      </c>
      <c r="E58" t="s">
        <v>11</v>
      </c>
      <c r="F58" t="s">
        <v>401</v>
      </c>
      <c r="G58">
        <f t="shared" si="8"/>
        <v>0</v>
      </c>
      <c r="H58">
        <f t="shared" si="9"/>
        <v>1</v>
      </c>
      <c r="I58">
        <f t="shared" si="10"/>
        <v>0</v>
      </c>
      <c r="J58">
        <f t="shared" si="11"/>
        <v>0</v>
      </c>
      <c r="K58">
        <f t="shared" si="12"/>
        <v>0</v>
      </c>
      <c r="L58">
        <f t="shared" si="13"/>
        <v>0</v>
      </c>
      <c r="M58">
        <f t="shared" si="14"/>
        <v>0</v>
      </c>
      <c r="N58">
        <f t="shared" si="15"/>
        <v>0</v>
      </c>
    </row>
    <row r="59" spans="1:14" x14ac:dyDescent="0.25">
      <c r="A59" t="s">
        <v>366</v>
      </c>
      <c r="B59" t="s">
        <v>331</v>
      </c>
      <c r="C59" t="s">
        <v>328</v>
      </c>
      <c r="D59" s="1">
        <v>280</v>
      </c>
      <c r="E59" t="s">
        <v>11</v>
      </c>
      <c r="F59" t="s">
        <v>401</v>
      </c>
      <c r="G59">
        <f t="shared" si="8"/>
        <v>0</v>
      </c>
      <c r="H59">
        <f t="shared" si="9"/>
        <v>1</v>
      </c>
      <c r="I59">
        <f t="shared" si="10"/>
        <v>0</v>
      </c>
      <c r="J59">
        <f t="shared" si="11"/>
        <v>0</v>
      </c>
      <c r="K59">
        <f t="shared" si="12"/>
        <v>0</v>
      </c>
      <c r="L59">
        <f t="shared" si="13"/>
        <v>0</v>
      </c>
      <c r="M59">
        <f t="shared" si="14"/>
        <v>0</v>
      </c>
      <c r="N59">
        <f t="shared" si="15"/>
        <v>0</v>
      </c>
    </row>
    <row r="60" spans="1:14" x14ac:dyDescent="0.25">
      <c r="A60" t="s">
        <v>368</v>
      </c>
      <c r="B60" t="s">
        <v>334</v>
      </c>
      <c r="C60" t="s">
        <v>328</v>
      </c>
      <c r="D60" s="1">
        <v>550</v>
      </c>
      <c r="E60" t="s">
        <v>11</v>
      </c>
      <c r="F60" t="s">
        <v>401</v>
      </c>
      <c r="G60">
        <f t="shared" si="8"/>
        <v>0</v>
      </c>
      <c r="H60">
        <f t="shared" si="9"/>
        <v>1</v>
      </c>
      <c r="I60">
        <f t="shared" si="10"/>
        <v>0</v>
      </c>
      <c r="J60">
        <f t="shared" si="11"/>
        <v>0</v>
      </c>
      <c r="K60">
        <f t="shared" si="12"/>
        <v>0</v>
      </c>
      <c r="L60">
        <f t="shared" si="13"/>
        <v>0</v>
      </c>
      <c r="M60">
        <f t="shared" si="14"/>
        <v>0</v>
      </c>
      <c r="N60">
        <f t="shared" si="15"/>
        <v>0</v>
      </c>
    </row>
    <row r="61" spans="1:14" x14ac:dyDescent="0.25">
      <c r="A61" t="s">
        <v>379</v>
      </c>
      <c r="B61" t="s">
        <v>275</v>
      </c>
      <c r="C61" t="s">
        <v>328</v>
      </c>
      <c r="D61" s="1">
        <v>50</v>
      </c>
      <c r="E61" t="s">
        <v>348</v>
      </c>
      <c r="F61" t="s">
        <v>401</v>
      </c>
      <c r="G61">
        <f t="shared" si="8"/>
        <v>0</v>
      </c>
      <c r="H61">
        <f t="shared" si="9"/>
        <v>1</v>
      </c>
      <c r="I61">
        <f t="shared" si="10"/>
        <v>0</v>
      </c>
      <c r="J61">
        <f t="shared" si="11"/>
        <v>0</v>
      </c>
      <c r="K61">
        <f t="shared" si="12"/>
        <v>1</v>
      </c>
      <c r="L61">
        <f t="shared" si="13"/>
        <v>0</v>
      </c>
      <c r="M61">
        <f t="shared" si="14"/>
        <v>0</v>
      </c>
      <c r="N61">
        <f t="shared" si="15"/>
        <v>0</v>
      </c>
    </row>
    <row r="62" spans="1:14" x14ac:dyDescent="0.25">
      <c r="A62" t="s">
        <v>365</v>
      </c>
      <c r="B62" t="s">
        <v>329</v>
      </c>
      <c r="C62" t="s">
        <v>328</v>
      </c>
      <c r="D62" s="1">
        <v>25</v>
      </c>
      <c r="E62" t="s">
        <v>330</v>
      </c>
      <c r="F62" t="s">
        <v>401</v>
      </c>
      <c r="G62">
        <f t="shared" si="8"/>
        <v>0</v>
      </c>
      <c r="H62">
        <f t="shared" si="9"/>
        <v>1</v>
      </c>
      <c r="I62">
        <f t="shared" si="10"/>
        <v>0</v>
      </c>
      <c r="J62">
        <f t="shared" si="11"/>
        <v>0</v>
      </c>
      <c r="K62">
        <f t="shared" si="12"/>
        <v>1</v>
      </c>
      <c r="L62">
        <f t="shared" si="13"/>
        <v>1</v>
      </c>
      <c r="M62">
        <f t="shared" si="14"/>
        <v>1</v>
      </c>
      <c r="N62">
        <f t="shared" si="15"/>
        <v>0</v>
      </c>
    </row>
    <row r="63" spans="1:14" x14ac:dyDescent="0.25">
      <c r="A63" t="s">
        <v>306</v>
      </c>
      <c r="B63" t="s">
        <v>54</v>
      </c>
      <c r="C63" t="s">
        <v>55</v>
      </c>
      <c r="D63" s="1">
        <v>190</v>
      </c>
      <c r="E63" t="s">
        <v>68</v>
      </c>
      <c r="F63" t="s">
        <v>400</v>
      </c>
      <c r="G63">
        <f t="shared" si="8"/>
        <v>1</v>
      </c>
      <c r="H63">
        <f t="shared" si="9"/>
        <v>0</v>
      </c>
      <c r="I63">
        <f t="shared" si="10"/>
        <v>0</v>
      </c>
      <c r="J63">
        <f t="shared" si="11"/>
        <v>0</v>
      </c>
      <c r="K63">
        <f t="shared" si="12"/>
        <v>0</v>
      </c>
      <c r="L63">
        <f t="shared" si="13"/>
        <v>0</v>
      </c>
      <c r="M63">
        <f t="shared" si="14"/>
        <v>0</v>
      </c>
      <c r="N63">
        <f t="shared" si="15"/>
        <v>0</v>
      </c>
    </row>
    <row r="64" spans="1:14" x14ac:dyDescent="0.25">
      <c r="A64" t="s">
        <v>308</v>
      </c>
      <c r="B64" t="s">
        <v>57</v>
      </c>
      <c r="C64" t="s">
        <v>55</v>
      </c>
      <c r="D64" s="1">
        <v>180</v>
      </c>
      <c r="E64" t="s">
        <v>68</v>
      </c>
      <c r="F64" t="s">
        <v>400</v>
      </c>
      <c r="G64">
        <f t="shared" si="8"/>
        <v>1</v>
      </c>
      <c r="H64">
        <f t="shared" si="9"/>
        <v>0</v>
      </c>
      <c r="I64">
        <f t="shared" si="10"/>
        <v>0</v>
      </c>
      <c r="J64">
        <f t="shared" si="11"/>
        <v>0</v>
      </c>
      <c r="K64">
        <f t="shared" si="12"/>
        <v>0</v>
      </c>
      <c r="L64">
        <f t="shared" si="13"/>
        <v>0</v>
      </c>
      <c r="M64">
        <f t="shared" si="14"/>
        <v>0</v>
      </c>
      <c r="N64">
        <f t="shared" si="15"/>
        <v>0</v>
      </c>
    </row>
    <row r="65" spans="1:14" x14ac:dyDescent="0.25">
      <c r="A65" t="s">
        <v>309</v>
      </c>
      <c r="B65" t="s">
        <v>58</v>
      </c>
      <c r="C65" t="s">
        <v>55</v>
      </c>
      <c r="D65" s="1">
        <v>220</v>
      </c>
      <c r="E65" t="s">
        <v>68</v>
      </c>
      <c r="F65" t="s">
        <v>400</v>
      </c>
      <c r="G65">
        <f t="shared" si="8"/>
        <v>1</v>
      </c>
      <c r="H65">
        <f t="shared" si="9"/>
        <v>0</v>
      </c>
      <c r="I65">
        <f t="shared" si="10"/>
        <v>0</v>
      </c>
      <c r="J65">
        <f t="shared" si="11"/>
        <v>0</v>
      </c>
      <c r="K65">
        <f t="shared" si="12"/>
        <v>0</v>
      </c>
      <c r="L65">
        <f t="shared" si="13"/>
        <v>0</v>
      </c>
      <c r="M65">
        <f t="shared" si="14"/>
        <v>0</v>
      </c>
      <c r="N65">
        <f t="shared" si="15"/>
        <v>0</v>
      </c>
    </row>
    <row r="66" spans="1:14" x14ac:dyDescent="0.25">
      <c r="A66" t="s">
        <v>310</v>
      </c>
      <c r="B66" t="s">
        <v>59</v>
      </c>
      <c r="C66" t="s">
        <v>55</v>
      </c>
      <c r="D66" s="1">
        <v>230</v>
      </c>
      <c r="E66" t="s">
        <v>68</v>
      </c>
      <c r="F66" t="s">
        <v>400</v>
      </c>
      <c r="G66">
        <f t="shared" si="8"/>
        <v>1</v>
      </c>
      <c r="H66">
        <f t="shared" si="9"/>
        <v>0</v>
      </c>
      <c r="I66">
        <f t="shared" si="10"/>
        <v>0</v>
      </c>
      <c r="J66">
        <f t="shared" si="11"/>
        <v>0</v>
      </c>
      <c r="K66">
        <f t="shared" si="12"/>
        <v>0</v>
      </c>
      <c r="L66">
        <f t="shared" si="13"/>
        <v>0</v>
      </c>
      <c r="M66">
        <f t="shared" si="14"/>
        <v>0</v>
      </c>
      <c r="N66">
        <f t="shared" si="15"/>
        <v>0</v>
      </c>
    </row>
    <row r="67" spans="1:14" x14ac:dyDescent="0.25">
      <c r="A67" t="s">
        <v>311</v>
      </c>
      <c r="B67" t="s">
        <v>60</v>
      </c>
      <c r="C67" t="s">
        <v>55</v>
      </c>
      <c r="D67" s="1">
        <v>200</v>
      </c>
      <c r="E67" t="s">
        <v>68</v>
      </c>
      <c r="F67" t="s">
        <v>400</v>
      </c>
      <c r="G67">
        <f t="shared" si="8"/>
        <v>1</v>
      </c>
      <c r="H67">
        <f t="shared" si="9"/>
        <v>0</v>
      </c>
      <c r="I67">
        <f t="shared" si="10"/>
        <v>0</v>
      </c>
      <c r="J67">
        <f t="shared" si="11"/>
        <v>0</v>
      </c>
      <c r="K67">
        <f t="shared" si="12"/>
        <v>0</v>
      </c>
      <c r="L67">
        <f t="shared" si="13"/>
        <v>0</v>
      </c>
      <c r="M67">
        <f t="shared" si="14"/>
        <v>0</v>
      </c>
      <c r="N67">
        <f t="shared" si="15"/>
        <v>0</v>
      </c>
    </row>
    <row r="68" spans="1:14" x14ac:dyDescent="0.25">
      <c r="A68" t="s">
        <v>317</v>
      </c>
      <c r="B68" t="s">
        <v>67</v>
      </c>
      <c r="C68" t="s">
        <v>63</v>
      </c>
      <c r="D68" s="1">
        <v>20</v>
      </c>
      <c r="E68" t="s">
        <v>68</v>
      </c>
      <c r="F68" t="s">
        <v>401</v>
      </c>
      <c r="G68">
        <f t="shared" si="8"/>
        <v>1</v>
      </c>
      <c r="H68">
        <f t="shared" si="9"/>
        <v>0</v>
      </c>
      <c r="I68">
        <f t="shared" si="10"/>
        <v>0</v>
      </c>
      <c r="J68">
        <f t="shared" si="11"/>
        <v>0</v>
      </c>
      <c r="K68">
        <f t="shared" si="12"/>
        <v>0</v>
      </c>
      <c r="L68">
        <f t="shared" si="13"/>
        <v>0</v>
      </c>
      <c r="M68">
        <f t="shared" si="14"/>
        <v>0</v>
      </c>
      <c r="N68">
        <f t="shared" si="15"/>
        <v>0</v>
      </c>
    </row>
    <row r="69" spans="1:14" x14ac:dyDescent="0.25">
      <c r="A69" t="s">
        <v>321</v>
      </c>
      <c r="B69" t="s">
        <v>74</v>
      </c>
      <c r="C69" t="s">
        <v>75</v>
      </c>
      <c r="D69" s="1">
        <v>150</v>
      </c>
      <c r="E69" t="s">
        <v>68</v>
      </c>
      <c r="F69" t="s">
        <v>400</v>
      </c>
      <c r="G69">
        <f t="shared" ref="G69:G76" si="16">IF(COUNTIF($E69,"*Plaza*"),1,0)</f>
        <v>1</v>
      </c>
      <c r="H69">
        <f t="shared" ref="H69:H76" si="17">IF(COUNTIF($E69,"*Peaceful Meadow*"),1,0)</f>
        <v>0</v>
      </c>
      <c r="I69">
        <f t="shared" ref="I69:I76" si="18">IF(COUNTIF($E69,"*Dazzle Beach*"),1,0)</f>
        <v>0</v>
      </c>
      <c r="J69">
        <f t="shared" ref="J69:J76" si="19">IF(COUNTIF($E69,"*Glade of Trust*"),1,0)</f>
        <v>0</v>
      </c>
      <c r="K69">
        <f t="shared" ref="K69:K76" si="20">IF(COUNTIF($E69,"*Forest of Valor*"),1,0)</f>
        <v>0</v>
      </c>
      <c r="L69">
        <f t="shared" ref="L69:L76" si="21">IF(COUNTIF($E69,"*Sunlit Plateau*"),1,0)</f>
        <v>0</v>
      </c>
      <c r="M69">
        <f t="shared" ref="M69:M76" si="22">IF(COUNTIF($E69,"*Frosted Heights*"),1,0)</f>
        <v>0</v>
      </c>
      <c r="N69">
        <f t="shared" ref="N69:N76" si="23">IF(COUNTIF($E69,"*Forgotten Lands*"),1,0)</f>
        <v>0</v>
      </c>
    </row>
    <row r="70" spans="1:14" x14ac:dyDescent="0.25">
      <c r="A70" t="s">
        <v>303</v>
      </c>
      <c r="B70" t="s">
        <v>49</v>
      </c>
      <c r="C70" t="s">
        <v>31</v>
      </c>
      <c r="D70" s="1">
        <v>21</v>
      </c>
      <c r="E70" t="s">
        <v>50</v>
      </c>
      <c r="F70" t="s">
        <v>401</v>
      </c>
      <c r="G70">
        <f t="shared" si="16"/>
        <v>1</v>
      </c>
      <c r="H70">
        <f t="shared" si="17"/>
        <v>1</v>
      </c>
      <c r="I70">
        <f t="shared" si="18"/>
        <v>0</v>
      </c>
      <c r="J70">
        <f t="shared" si="19"/>
        <v>0</v>
      </c>
      <c r="K70">
        <f t="shared" si="20"/>
        <v>0</v>
      </c>
      <c r="L70">
        <f t="shared" si="21"/>
        <v>0</v>
      </c>
      <c r="M70">
        <f t="shared" si="22"/>
        <v>0</v>
      </c>
      <c r="N70">
        <f t="shared" si="23"/>
        <v>0</v>
      </c>
    </row>
    <row r="71" spans="1:14" x14ac:dyDescent="0.25">
      <c r="A71" t="s">
        <v>280</v>
      </c>
      <c r="B71" t="s">
        <v>12</v>
      </c>
      <c r="C71" t="s">
        <v>6</v>
      </c>
      <c r="D71" s="1">
        <v>78</v>
      </c>
      <c r="E71" t="s">
        <v>13</v>
      </c>
      <c r="F71" t="s">
        <v>399</v>
      </c>
      <c r="G71">
        <f t="shared" si="16"/>
        <v>0</v>
      </c>
      <c r="H71">
        <f t="shared" si="17"/>
        <v>0</v>
      </c>
      <c r="I71">
        <f t="shared" si="18"/>
        <v>0</v>
      </c>
      <c r="J71">
        <f t="shared" si="19"/>
        <v>0</v>
      </c>
      <c r="K71">
        <f t="shared" si="20"/>
        <v>0</v>
      </c>
      <c r="L71">
        <f t="shared" si="21"/>
        <v>1</v>
      </c>
      <c r="M71">
        <f t="shared" si="22"/>
        <v>0</v>
      </c>
      <c r="N71">
        <f t="shared" si="23"/>
        <v>0</v>
      </c>
    </row>
    <row r="72" spans="1:14" x14ac:dyDescent="0.25">
      <c r="A72" t="s">
        <v>293</v>
      </c>
      <c r="B72" t="s">
        <v>29</v>
      </c>
      <c r="C72" t="s">
        <v>6</v>
      </c>
      <c r="D72" s="1">
        <v>52</v>
      </c>
      <c r="E72" t="s">
        <v>13</v>
      </c>
      <c r="F72" t="s">
        <v>399</v>
      </c>
      <c r="G72">
        <f t="shared" si="16"/>
        <v>0</v>
      </c>
      <c r="H72">
        <f t="shared" si="17"/>
        <v>0</v>
      </c>
      <c r="I72">
        <f t="shared" si="18"/>
        <v>0</v>
      </c>
      <c r="J72">
        <f t="shared" si="19"/>
        <v>0</v>
      </c>
      <c r="K72">
        <f t="shared" si="20"/>
        <v>0</v>
      </c>
      <c r="L72">
        <f t="shared" si="21"/>
        <v>1</v>
      </c>
      <c r="M72">
        <f t="shared" si="22"/>
        <v>0</v>
      </c>
      <c r="N72">
        <f t="shared" si="23"/>
        <v>0</v>
      </c>
    </row>
    <row r="73" spans="1:14" x14ac:dyDescent="0.25">
      <c r="A73" t="s">
        <v>312</v>
      </c>
      <c r="B73" t="s">
        <v>61</v>
      </c>
      <c r="C73" t="s">
        <v>55</v>
      </c>
      <c r="D73" s="1">
        <v>69</v>
      </c>
      <c r="E73" t="s">
        <v>13</v>
      </c>
      <c r="F73" t="s">
        <v>399</v>
      </c>
      <c r="G73">
        <f t="shared" si="16"/>
        <v>0</v>
      </c>
      <c r="H73">
        <f t="shared" si="17"/>
        <v>0</v>
      </c>
      <c r="I73">
        <f t="shared" si="18"/>
        <v>0</v>
      </c>
      <c r="J73">
        <f t="shared" si="19"/>
        <v>0</v>
      </c>
      <c r="K73">
        <f t="shared" si="20"/>
        <v>0</v>
      </c>
      <c r="L73">
        <f t="shared" si="21"/>
        <v>1</v>
      </c>
      <c r="M73">
        <f t="shared" si="22"/>
        <v>0</v>
      </c>
      <c r="N73">
        <f t="shared" si="23"/>
        <v>0</v>
      </c>
    </row>
    <row r="74" spans="1:14" x14ac:dyDescent="0.25">
      <c r="A74" t="s">
        <v>320</v>
      </c>
      <c r="B74" t="s">
        <v>73</v>
      </c>
      <c r="C74" t="s">
        <v>70</v>
      </c>
      <c r="D74" s="1">
        <v>60</v>
      </c>
      <c r="E74" t="s">
        <v>13</v>
      </c>
      <c r="F74" t="s">
        <v>401</v>
      </c>
      <c r="G74">
        <f t="shared" si="16"/>
        <v>0</v>
      </c>
      <c r="H74">
        <f t="shared" si="17"/>
        <v>0</v>
      </c>
      <c r="I74">
        <f t="shared" si="18"/>
        <v>0</v>
      </c>
      <c r="J74">
        <f t="shared" si="19"/>
        <v>0</v>
      </c>
      <c r="K74">
        <f t="shared" si="20"/>
        <v>0</v>
      </c>
      <c r="L74">
        <f t="shared" si="21"/>
        <v>1</v>
      </c>
      <c r="M74">
        <f t="shared" si="22"/>
        <v>0</v>
      </c>
      <c r="N74">
        <f t="shared" si="23"/>
        <v>0</v>
      </c>
    </row>
    <row r="75" spans="1:14" x14ac:dyDescent="0.25">
      <c r="A75" t="s">
        <v>389</v>
      </c>
      <c r="B75" t="s">
        <v>362</v>
      </c>
      <c r="C75" t="s">
        <v>328</v>
      </c>
      <c r="D75" s="1">
        <v>1100</v>
      </c>
      <c r="E75" t="s">
        <v>13</v>
      </c>
      <c r="F75" t="s">
        <v>401</v>
      </c>
      <c r="G75">
        <f t="shared" si="16"/>
        <v>0</v>
      </c>
      <c r="H75">
        <f t="shared" si="17"/>
        <v>0</v>
      </c>
      <c r="I75">
        <f t="shared" si="18"/>
        <v>0</v>
      </c>
      <c r="J75">
        <f t="shared" si="19"/>
        <v>0</v>
      </c>
      <c r="K75">
        <f t="shared" si="20"/>
        <v>0</v>
      </c>
      <c r="L75">
        <f t="shared" si="21"/>
        <v>1</v>
      </c>
      <c r="M75">
        <f t="shared" si="22"/>
        <v>0</v>
      </c>
      <c r="N75">
        <f t="shared" si="23"/>
        <v>0</v>
      </c>
    </row>
    <row r="76" spans="1:14" x14ac:dyDescent="0.25">
      <c r="A76" t="s">
        <v>387</v>
      </c>
      <c r="B76" t="s">
        <v>358</v>
      </c>
      <c r="C76" t="s">
        <v>328</v>
      </c>
      <c r="D76" s="1">
        <v>600</v>
      </c>
      <c r="E76" t="s">
        <v>359</v>
      </c>
      <c r="F76" t="s">
        <v>401</v>
      </c>
      <c r="G76">
        <f t="shared" si="16"/>
        <v>0</v>
      </c>
      <c r="H76">
        <f t="shared" si="17"/>
        <v>0</v>
      </c>
      <c r="I76">
        <f t="shared" si="18"/>
        <v>0</v>
      </c>
      <c r="J76">
        <f t="shared" si="19"/>
        <v>0</v>
      </c>
      <c r="K76">
        <f t="shared" si="20"/>
        <v>0</v>
      </c>
      <c r="L76">
        <f t="shared" si="21"/>
        <v>1</v>
      </c>
      <c r="M76">
        <f t="shared" si="22"/>
        <v>1</v>
      </c>
      <c r="N76">
        <f t="shared" si="23"/>
        <v>0</v>
      </c>
    </row>
  </sheetData>
  <autoFilter ref="A1:N76" xr:uid="{978B2024-7156-471C-9526-DD0E3E92944A}">
    <sortState xmlns:xlrd2="http://schemas.microsoft.com/office/spreadsheetml/2017/richdata2" ref="A2:N76">
      <sortCondition ref="E1:E76"/>
    </sortState>
  </autoFilter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78FAE-6566-46CE-95D1-7D83502ACF2B}">
  <sheetPr codeName="Sheet3"/>
  <dimension ref="A1:E28"/>
  <sheetViews>
    <sheetView workbookViewId="0">
      <selection activeCell="E49" sqref="E49"/>
    </sheetView>
  </sheetViews>
  <sheetFormatPr defaultRowHeight="15" x14ac:dyDescent="0.25"/>
  <cols>
    <col min="1" max="1" width="8.85546875" bestFit="1" customWidth="1"/>
    <col min="2" max="2" width="18.85546875" bestFit="1" customWidth="1"/>
    <col min="3" max="3" width="16.140625" bestFit="1" customWidth="1"/>
    <col min="5" max="5" width="62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325</v>
      </c>
      <c r="E1" t="s">
        <v>326</v>
      </c>
    </row>
    <row r="2" spans="1:5" x14ac:dyDescent="0.25">
      <c r="A2">
        <v>0</v>
      </c>
      <c r="B2" t="s">
        <v>327</v>
      </c>
      <c r="C2" t="s">
        <v>328</v>
      </c>
      <c r="D2">
        <v>1500</v>
      </c>
      <c r="E2" t="s">
        <v>19</v>
      </c>
    </row>
    <row r="3" spans="1:5" x14ac:dyDescent="0.25">
      <c r="A3">
        <v>1</v>
      </c>
      <c r="B3" t="s">
        <v>329</v>
      </c>
      <c r="C3" t="s">
        <v>328</v>
      </c>
      <c r="D3">
        <v>25</v>
      </c>
      <c r="E3" t="s">
        <v>330</v>
      </c>
    </row>
    <row r="4" spans="1:5" x14ac:dyDescent="0.25">
      <c r="A4">
        <v>2</v>
      </c>
      <c r="B4" t="s">
        <v>331</v>
      </c>
      <c r="C4" t="s">
        <v>328</v>
      </c>
      <c r="D4">
        <v>280</v>
      </c>
      <c r="E4" t="s">
        <v>11</v>
      </c>
    </row>
    <row r="5" spans="1:5" x14ac:dyDescent="0.25">
      <c r="A5">
        <v>3</v>
      </c>
      <c r="B5" t="s">
        <v>332</v>
      </c>
      <c r="C5" t="s">
        <v>328</v>
      </c>
      <c r="D5">
        <v>400</v>
      </c>
      <c r="E5" t="s">
        <v>333</v>
      </c>
    </row>
    <row r="6" spans="1:5" x14ac:dyDescent="0.25">
      <c r="A6">
        <v>4</v>
      </c>
      <c r="B6" t="s">
        <v>334</v>
      </c>
      <c r="C6" t="s">
        <v>328</v>
      </c>
      <c r="D6">
        <v>550</v>
      </c>
      <c r="E6" t="s">
        <v>11</v>
      </c>
    </row>
    <row r="7" spans="1:5" x14ac:dyDescent="0.25">
      <c r="A7">
        <v>5</v>
      </c>
      <c r="B7" t="s">
        <v>335</v>
      </c>
      <c r="C7" t="s">
        <v>328</v>
      </c>
      <c r="D7">
        <v>35</v>
      </c>
      <c r="E7" t="s">
        <v>336</v>
      </c>
    </row>
    <row r="8" spans="1:5" x14ac:dyDescent="0.25">
      <c r="A8">
        <v>6</v>
      </c>
      <c r="B8" t="s">
        <v>337</v>
      </c>
      <c r="C8" t="s">
        <v>328</v>
      </c>
      <c r="D8">
        <v>600</v>
      </c>
      <c r="E8" t="s">
        <v>7</v>
      </c>
    </row>
    <row r="9" spans="1:5" x14ac:dyDescent="0.25">
      <c r="A9">
        <v>7</v>
      </c>
      <c r="B9" t="s">
        <v>338</v>
      </c>
      <c r="C9" t="s">
        <v>328</v>
      </c>
      <c r="D9">
        <v>900</v>
      </c>
      <c r="E9" t="s">
        <v>15</v>
      </c>
    </row>
    <row r="10" spans="1:5" x14ac:dyDescent="0.25">
      <c r="A10">
        <v>8</v>
      </c>
      <c r="B10" t="s">
        <v>339</v>
      </c>
      <c r="C10" t="s">
        <v>328</v>
      </c>
      <c r="D10">
        <v>2000</v>
      </c>
      <c r="E10" t="s">
        <v>340</v>
      </c>
    </row>
    <row r="11" spans="1:5" x14ac:dyDescent="0.25">
      <c r="A11">
        <v>9</v>
      </c>
      <c r="B11" t="s">
        <v>341</v>
      </c>
      <c r="C11" t="s">
        <v>328</v>
      </c>
      <c r="D11">
        <v>65</v>
      </c>
      <c r="E11" t="s">
        <v>342</v>
      </c>
    </row>
    <row r="12" spans="1:5" x14ac:dyDescent="0.25">
      <c r="A12">
        <v>10</v>
      </c>
      <c r="B12" t="s">
        <v>343</v>
      </c>
      <c r="C12" t="s">
        <v>328</v>
      </c>
      <c r="D12">
        <v>450</v>
      </c>
      <c r="E12" t="s">
        <v>15</v>
      </c>
    </row>
    <row r="13" spans="1:5" x14ac:dyDescent="0.25">
      <c r="A13">
        <v>11</v>
      </c>
      <c r="B13" t="s">
        <v>344</v>
      </c>
      <c r="C13" t="s">
        <v>328</v>
      </c>
      <c r="D13">
        <v>650</v>
      </c>
      <c r="E13" t="s">
        <v>19</v>
      </c>
    </row>
    <row r="14" spans="1:5" x14ac:dyDescent="0.25">
      <c r="A14">
        <v>12</v>
      </c>
      <c r="B14" t="s">
        <v>345</v>
      </c>
      <c r="C14" t="s">
        <v>328</v>
      </c>
      <c r="D14">
        <v>950</v>
      </c>
      <c r="E14" t="s">
        <v>22</v>
      </c>
    </row>
    <row r="15" spans="1:5" x14ac:dyDescent="0.25">
      <c r="A15">
        <v>13</v>
      </c>
      <c r="B15" t="s">
        <v>346</v>
      </c>
      <c r="C15" t="s">
        <v>328</v>
      </c>
      <c r="D15">
        <v>80</v>
      </c>
      <c r="E15" t="s">
        <v>333</v>
      </c>
    </row>
    <row r="16" spans="1:5" x14ac:dyDescent="0.25">
      <c r="A16">
        <v>14</v>
      </c>
      <c r="B16" t="s">
        <v>347</v>
      </c>
      <c r="C16" t="s">
        <v>328</v>
      </c>
      <c r="D16">
        <v>800</v>
      </c>
      <c r="E16" t="s">
        <v>9</v>
      </c>
    </row>
    <row r="17" spans="1:5" x14ac:dyDescent="0.25">
      <c r="A17">
        <v>15</v>
      </c>
      <c r="B17" t="s">
        <v>275</v>
      </c>
      <c r="C17" t="s">
        <v>328</v>
      </c>
      <c r="D17">
        <v>50</v>
      </c>
      <c r="E17" t="s">
        <v>348</v>
      </c>
    </row>
    <row r="18" spans="1:5" x14ac:dyDescent="0.25">
      <c r="A18">
        <v>16</v>
      </c>
      <c r="B18" t="s">
        <v>349</v>
      </c>
      <c r="C18" t="s">
        <v>328</v>
      </c>
      <c r="D18">
        <v>150</v>
      </c>
      <c r="E18" t="s">
        <v>340</v>
      </c>
    </row>
    <row r="19" spans="1:5" x14ac:dyDescent="0.25">
      <c r="A19">
        <v>17</v>
      </c>
      <c r="B19" t="s">
        <v>350</v>
      </c>
      <c r="C19" t="s">
        <v>328</v>
      </c>
      <c r="D19">
        <v>150</v>
      </c>
      <c r="E19" t="s">
        <v>351</v>
      </c>
    </row>
    <row r="20" spans="1:5" x14ac:dyDescent="0.25">
      <c r="A20">
        <v>18</v>
      </c>
      <c r="B20" t="s">
        <v>352</v>
      </c>
      <c r="C20" t="s">
        <v>328</v>
      </c>
      <c r="D20">
        <v>20</v>
      </c>
      <c r="E20" t="s">
        <v>340</v>
      </c>
    </row>
    <row r="21" spans="1:5" x14ac:dyDescent="0.25">
      <c r="A21">
        <v>19</v>
      </c>
      <c r="B21" t="s">
        <v>353</v>
      </c>
      <c r="C21" t="s">
        <v>328</v>
      </c>
      <c r="D21">
        <v>300</v>
      </c>
      <c r="E21" t="s">
        <v>15</v>
      </c>
    </row>
    <row r="22" spans="1:5" x14ac:dyDescent="0.25">
      <c r="A22">
        <v>20</v>
      </c>
      <c r="B22" t="s">
        <v>354</v>
      </c>
      <c r="C22" t="s">
        <v>328</v>
      </c>
      <c r="D22">
        <v>200</v>
      </c>
      <c r="E22" t="s">
        <v>19</v>
      </c>
    </row>
    <row r="23" spans="1:5" x14ac:dyDescent="0.25">
      <c r="A23">
        <v>21</v>
      </c>
      <c r="B23" t="s">
        <v>355</v>
      </c>
      <c r="C23" t="s">
        <v>328</v>
      </c>
      <c r="D23">
        <v>500</v>
      </c>
      <c r="E23" t="s">
        <v>356</v>
      </c>
    </row>
    <row r="24" spans="1:5" x14ac:dyDescent="0.25">
      <c r="A24">
        <v>22</v>
      </c>
      <c r="B24" t="s">
        <v>357</v>
      </c>
      <c r="C24" t="s">
        <v>328</v>
      </c>
      <c r="D24">
        <v>700</v>
      </c>
      <c r="E24" t="s">
        <v>15</v>
      </c>
    </row>
    <row r="25" spans="1:5" x14ac:dyDescent="0.25">
      <c r="A25">
        <v>23</v>
      </c>
      <c r="B25" t="s">
        <v>358</v>
      </c>
      <c r="C25" t="s">
        <v>328</v>
      </c>
      <c r="D25">
        <v>600</v>
      </c>
      <c r="E25" t="s">
        <v>359</v>
      </c>
    </row>
    <row r="26" spans="1:5" x14ac:dyDescent="0.25">
      <c r="A26">
        <v>24</v>
      </c>
      <c r="B26" t="s">
        <v>360</v>
      </c>
      <c r="C26" t="s">
        <v>328</v>
      </c>
      <c r="D26">
        <v>95</v>
      </c>
      <c r="E26" t="s">
        <v>361</v>
      </c>
    </row>
    <row r="27" spans="1:5" x14ac:dyDescent="0.25">
      <c r="A27">
        <v>25</v>
      </c>
      <c r="B27" t="s">
        <v>362</v>
      </c>
      <c r="C27" t="s">
        <v>328</v>
      </c>
      <c r="D27">
        <v>1100</v>
      </c>
      <c r="E27" t="s">
        <v>13</v>
      </c>
    </row>
    <row r="28" spans="1:5" x14ac:dyDescent="0.25">
      <c r="A28">
        <v>26</v>
      </c>
      <c r="B28" t="s">
        <v>363</v>
      </c>
      <c r="C28" t="s">
        <v>328</v>
      </c>
      <c r="D28">
        <v>1250</v>
      </c>
      <c r="E28" t="s">
        <v>7</v>
      </c>
    </row>
  </sheetData>
  <autoFilter ref="A1:E28" xr:uid="{96E78FAE-6566-46CE-95D1-7D83502ACF2B}">
    <sortState xmlns:xlrd2="http://schemas.microsoft.com/office/spreadsheetml/2017/richdata2" ref="A2:E28">
      <sortCondition ref="A1:A28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B176-9E15-4649-B3F6-195AD21132CA}">
  <sheetPr codeName="Sheet2"/>
  <dimension ref="A1:H188"/>
  <sheetViews>
    <sheetView workbookViewId="0">
      <selection activeCell="C8" sqref="C8"/>
    </sheetView>
  </sheetViews>
  <sheetFormatPr defaultRowHeight="15" x14ac:dyDescent="0.25"/>
  <cols>
    <col min="1" max="1" width="30.42578125" style="2" bestFit="1" customWidth="1"/>
    <col min="2" max="3" width="13.140625" style="2" bestFit="1" customWidth="1"/>
    <col min="4" max="8" width="19.7109375" style="2" customWidth="1"/>
    <col min="9" max="16384" width="9.140625" style="2"/>
  </cols>
  <sheetData>
    <row r="1" spans="1:8" x14ac:dyDescent="0.25">
      <c r="A1" s="2" t="s">
        <v>402</v>
      </c>
      <c r="B1" s="2" t="s">
        <v>403</v>
      </c>
      <c r="C1" s="2" t="s">
        <v>404</v>
      </c>
      <c r="D1" s="2" t="s">
        <v>405</v>
      </c>
      <c r="E1" s="2" t="s">
        <v>406</v>
      </c>
      <c r="F1" s="2" t="s">
        <v>407</v>
      </c>
      <c r="G1" s="2" t="s">
        <v>408</v>
      </c>
      <c r="H1" s="2" t="s">
        <v>409</v>
      </c>
    </row>
    <row r="2" spans="1:8" x14ac:dyDescent="0.25">
      <c r="A2" s="2" t="s">
        <v>139</v>
      </c>
      <c r="B2" s="2" t="s">
        <v>128</v>
      </c>
      <c r="C2" s="2" t="s">
        <v>86</v>
      </c>
      <c r="D2" s="2" t="s">
        <v>357</v>
      </c>
      <c r="E2" s="2" t="s">
        <v>64</v>
      </c>
      <c r="F2" s="2" t="s">
        <v>53</v>
      </c>
      <c r="G2" s="2" t="s">
        <v>5</v>
      </c>
    </row>
    <row r="3" spans="1:8" x14ac:dyDescent="0.25">
      <c r="A3" s="2" t="s">
        <v>248</v>
      </c>
      <c r="B3" s="2" t="s">
        <v>214</v>
      </c>
      <c r="C3" s="2" t="s">
        <v>86</v>
      </c>
      <c r="D3" s="2" t="s">
        <v>49</v>
      </c>
      <c r="E3" s="2" t="s">
        <v>53</v>
      </c>
      <c r="F3" s="2" t="s">
        <v>58</v>
      </c>
      <c r="G3" s="2" t="s">
        <v>5</v>
      </c>
    </row>
    <row r="4" spans="1:8" x14ac:dyDescent="0.25">
      <c r="A4" s="2" t="s">
        <v>130</v>
      </c>
      <c r="B4" s="2" t="s">
        <v>128</v>
      </c>
      <c r="C4" s="2" t="s">
        <v>86</v>
      </c>
      <c r="D4" s="2" t="s">
        <v>62</v>
      </c>
      <c r="E4" s="2" t="s">
        <v>58</v>
      </c>
      <c r="F4" s="2" t="s">
        <v>57</v>
      </c>
      <c r="G4" s="2" t="s">
        <v>5</v>
      </c>
    </row>
    <row r="5" spans="1:8" x14ac:dyDescent="0.25">
      <c r="A5" s="2" t="s">
        <v>234</v>
      </c>
      <c r="B5" s="2" t="s">
        <v>214</v>
      </c>
      <c r="C5" s="2" t="s">
        <v>86</v>
      </c>
      <c r="D5" s="2" t="s">
        <v>69</v>
      </c>
      <c r="E5" s="2" t="s">
        <v>53</v>
      </c>
      <c r="F5" s="2" t="s">
        <v>58</v>
      </c>
      <c r="G5" s="2" t="s">
        <v>5</v>
      </c>
    </row>
    <row r="6" spans="1:8" x14ac:dyDescent="0.25">
      <c r="A6" s="2" t="s">
        <v>258</v>
      </c>
      <c r="B6" s="2" t="s">
        <v>214</v>
      </c>
      <c r="C6" s="2" t="s">
        <v>86</v>
      </c>
      <c r="D6" s="2" t="s">
        <v>60</v>
      </c>
      <c r="E6" s="2" t="s">
        <v>53</v>
      </c>
      <c r="F6" s="2" t="s">
        <v>58</v>
      </c>
      <c r="G6" s="2" t="s">
        <v>5</v>
      </c>
    </row>
    <row r="7" spans="1:8" x14ac:dyDescent="0.25">
      <c r="A7" s="2" t="s">
        <v>256</v>
      </c>
      <c r="B7" s="2" t="s">
        <v>214</v>
      </c>
      <c r="C7" s="2" t="s">
        <v>82</v>
      </c>
      <c r="D7" s="2" t="s">
        <v>37</v>
      </c>
      <c r="E7" s="2" t="s">
        <v>35</v>
      </c>
      <c r="F7" s="2" t="s">
        <v>49</v>
      </c>
      <c r="G7" s="2" t="s">
        <v>5</v>
      </c>
      <c r="H7" s="2" t="s">
        <v>72</v>
      </c>
    </row>
    <row r="8" spans="1:8" x14ac:dyDescent="0.25">
      <c r="A8" s="2" t="s">
        <v>211</v>
      </c>
      <c r="B8" s="2" t="s">
        <v>128</v>
      </c>
      <c r="C8" s="2" t="s">
        <v>86</v>
      </c>
      <c r="D8" s="2" t="s">
        <v>21</v>
      </c>
      <c r="E8" s="2" t="s">
        <v>29</v>
      </c>
      <c r="F8" s="2" t="s">
        <v>24</v>
      </c>
      <c r="G8" s="2" t="s">
        <v>8</v>
      </c>
    </row>
    <row r="9" spans="1:8" x14ac:dyDescent="0.25">
      <c r="A9" s="2" t="s">
        <v>148</v>
      </c>
      <c r="B9" s="2" t="s">
        <v>128</v>
      </c>
      <c r="C9" s="2" t="s">
        <v>82</v>
      </c>
      <c r="D9" s="2" t="s">
        <v>339</v>
      </c>
      <c r="E9" s="2" t="s">
        <v>47</v>
      </c>
      <c r="F9" s="2" t="s">
        <v>5</v>
      </c>
      <c r="G9" s="2" t="s">
        <v>8</v>
      </c>
      <c r="H9" s="2" t="s">
        <v>67</v>
      </c>
    </row>
    <row r="10" spans="1:8" x14ac:dyDescent="0.25">
      <c r="A10" s="2" t="s">
        <v>217</v>
      </c>
      <c r="B10" s="2" t="s">
        <v>214</v>
      </c>
      <c r="C10" s="2" t="s">
        <v>82</v>
      </c>
      <c r="D10" s="2" t="s">
        <v>53</v>
      </c>
      <c r="E10" s="2" t="s">
        <v>72</v>
      </c>
      <c r="F10" s="2" t="s">
        <v>58</v>
      </c>
      <c r="G10" s="2" t="s">
        <v>35</v>
      </c>
      <c r="H10" s="2" t="s">
        <v>5</v>
      </c>
    </row>
    <row r="11" spans="1:8" x14ac:dyDescent="0.25">
      <c r="A11" s="2" t="s">
        <v>122</v>
      </c>
      <c r="B11" s="2" t="s">
        <v>81</v>
      </c>
      <c r="C11" s="2" t="s">
        <v>86</v>
      </c>
      <c r="D11" s="2" t="s">
        <v>57</v>
      </c>
      <c r="E11" s="2" t="s">
        <v>58</v>
      </c>
      <c r="F11" s="2" t="s">
        <v>5</v>
      </c>
      <c r="G11" s="2" t="s">
        <v>54</v>
      </c>
    </row>
    <row r="12" spans="1:8" x14ac:dyDescent="0.25">
      <c r="A12" s="2" t="s">
        <v>232</v>
      </c>
      <c r="B12" s="2" t="s">
        <v>214</v>
      </c>
      <c r="C12" s="2" t="s">
        <v>86</v>
      </c>
      <c r="D12" s="2" t="s">
        <v>69</v>
      </c>
      <c r="E12" s="2" t="s">
        <v>53</v>
      </c>
      <c r="F12" s="2" t="s">
        <v>72</v>
      </c>
      <c r="G12" s="2" t="s">
        <v>54</v>
      </c>
    </row>
    <row r="13" spans="1:8" x14ac:dyDescent="0.25">
      <c r="A13" s="2" t="s">
        <v>250</v>
      </c>
      <c r="B13" s="2" t="s">
        <v>214</v>
      </c>
      <c r="C13" s="2" t="s">
        <v>86</v>
      </c>
      <c r="D13" s="2" t="s">
        <v>47</v>
      </c>
      <c r="E13" s="2" t="s">
        <v>53</v>
      </c>
      <c r="F13" s="2" t="s">
        <v>58</v>
      </c>
      <c r="G13" s="2" t="s">
        <v>54</v>
      </c>
    </row>
    <row r="14" spans="1:8" x14ac:dyDescent="0.25">
      <c r="A14" s="2" t="s">
        <v>176</v>
      </c>
      <c r="B14" s="2" t="s">
        <v>128</v>
      </c>
      <c r="C14" s="2" t="s">
        <v>86</v>
      </c>
      <c r="D14" s="2" t="s">
        <v>363</v>
      </c>
      <c r="E14" s="2" t="s">
        <v>62</v>
      </c>
      <c r="F14" s="2" t="s">
        <v>47</v>
      </c>
      <c r="G14" s="2" t="s">
        <v>54</v>
      </c>
    </row>
    <row r="15" spans="1:8" x14ac:dyDescent="0.25">
      <c r="A15" s="2" t="s">
        <v>161</v>
      </c>
      <c r="B15" s="2" t="s">
        <v>128</v>
      </c>
      <c r="C15" s="2" t="s">
        <v>82</v>
      </c>
      <c r="D15" s="2" t="s">
        <v>345</v>
      </c>
      <c r="E15" s="2" t="s">
        <v>53</v>
      </c>
      <c r="F15" s="2" t="s">
        <v>47</v>
      </c>
      <c r="G15" s="2" t="s">
        <v>54</v>
      </c>
      <c r="H15" s="2" t="s">
        <v>64</v>
      </c>
    </row>
    <row r="16" spans="1:8" x14ac:dyDescent="0.25">
      <c r="A16" s="2" t="s">
        <v>146</v>
      </c>
      <c r="B16" s="2" t="s">
        <v>128</v>
      </c>
      <c r="C16" s="2" t="s">
        <v>86</v>
      </c>
      <c r="D16" s="2" t="s">
        <v>358</v>
      </c>
      <c r="E16" s="2" t="s">
        <v>14</v>
      </c>
      <c r="F16" s="2" t="s">
        <v>12</v>
      </c>
      <c r="G16" s="2" t="s">
        <v>57</v>
      </c>
    </row>
    <row r="17" spans="1:8" x14ac:dyDescent="0.25">
      <c r="A17" s="2" t="s">
        <v>167</v>
      </c>
      <c r="B17" s="2" t="s">
        <v>128</v>
      </c>
      <c r="C17" s="2" t="s">
        <v>86</v>
      </c>
      <c r="D17" s="2" t="s">
        <v>21</v>
      </c>
      <c r="E17" s="2" t="s">
        <v>53</v>
      </c>
      <c r="F17" s="2" t="s">
        <v>28</v>
      </c>
      <c r="G17" s="2" t="s">
        <v>57</v>
      </c>
    </row>
    <row r="18" spans="1:8" x14ac:dyDescent="0.25">
      <c r="A18" s="2" t="s">
        <v>149</v>
      </c>
      <c r="B18" s="2" t="s">
        <v>128</v>
      </c>
      <c r="C18" s="2" t="s">
        <v>82</v>
      </c>
      <c r="D18" s="2" t="s">
        <v>67</v>
      </c>
      <c r="E18" s="2" t="s">
        <v>28</v>
      </c>
      <c r="F18" s="2" t="s">
        <v>24</v>
      </c>
      <c r="G18" s="2" t="s">
        <v>57</v>
      </c>
      <c r="H18" s="2" t="s">
        <v>53</v>
      </c>
    </row>
    <row r="19" spans="1:8" x14ac:dyDescent="0.25">
      <c r="A19" s="2" t="s">
        <v>205</v>
      </c>
      <c r="B19" s="2" t="s">
        <v>128</v>
      </c>
      <c r="C19" s="2" t="s">
        <v>82</v>
      </c>
      <c r="D19" s="2" t="s">
        <v>29</v>
      </c>
      <c r="E19" s="2" t="s">
        <v>8</v>
      </c>
      <c r="F19" s="2" t="s">
        <v>28</v>
      </c>
      <c r="G19" s="2" t="s">
        <v>57</v>
      </c>
      <c r="H19" s="2" t="s">
        <v>53</v>
      </c>
    </row>
    <row r="20" spans="1:8" x14ac:dyDescent="0.25">
      <c r="A20" s="2" t="s">
        <v>274</v>
      </c>
      <c r="B20" s="2" t="s">
        <v>214</v>
      </c>
      <c r="C20" s="2" t="s">
        <v>86</v>
      </c>
      <c r="D20" s="2" t="s">
        <v>53</v>
      </c>
      <c r="E20" s="2" t="s">
        <v>69</v>
      </c>
      <c r="F20" s="2" t="s">
        <v>73</v>
      </c>
      <c r="G20" s="2" t="s">
        <v>37</v>
      </c>
    </row>
    <row r="21" spans="1:8" x14ac:dyDescent="0.25">
      <c r="A21" s="2" t="s">
        <v>254</v>
      </c>
      <c r="B21" s="2" t="s">
        <v>214</v>
      </c>
      <c r="C21" s="2" t="s">
        <v>86</v>
      </c>
      <c r="D21" s="2" t="s">
        <v>66</v>
      </c>
      <c r="E21" s="2" t="s">
        <v>72</v>
      </c>
      <c r="F21" s="2" t="s">
        <v>54</v>
      </c>
      <c r="G21" s="2" t="s">
        <v>69</v>
      </c>
    </row>
    <row r="22" spans="1:8" x14ac:dyDescent="0.25">
      <c r="A22" s="2" t="s">
        <v>268</v>
      </c>
      <c r="B22" s="2" t="s">
        <v>214</v>
      </c>
      <c r="C22" s="2" t="s">
        <v>86</v>
      </c>
      <c r="D22" s="2" t="s">
        <v>74</v>
      </c>
      <c r="E22" s="2" t="s">
        <v>33</v>
      </c>
      <c r="F22" s="2" t="s">
        <v>72</v>
      </c>
      <c r="G22" s="2" t="s">
        <v>39</v>
      </c>
    </row>
    <row r="23" spans="1:8" x14ac:dyDescent="0.25">
      <c r="A23" s="2" t="s">
        <v>237</v>
      </c>
      <c r="B23" s="2" t="s">
        <v>214</v>
      </c>
      <c r="C23" s="2" t="s">
        <v>86</v>
      </c>
      <c r="D23" s="2" t="s">
        <v>74</v>
      </c>
      <c r="E23" s="2" t="s">
        <v>5</v>
      </c>
      <c r="F23" s="2" t="s">
        <v>72</v>
      </c>
      <c r="G23" s="2" t="s">
        <v>39</v>
      </c>
    </row>
    <row r="24" spans="1:8" x14ac:dyDescent="0.25">
      <c r="A24" s="2" t="s">
        <v>134</v>
      </c>
      <c r="B24" s="2" t="s">
        <v>128</v>
      </c>
      <c r="C24" s="2" t="s">
        <v>86</v>
      </c>
      <c r="D24" s="2" t="s">
        <v>353</v>
      </c>
      <c r="E24" s="2" t="s">
        <v>5</v>
      </c>
      <c r="F24" s="2" t="s">
        <v>25</v>
      </c>
      <c r="G24" s="2" t="s">
        <v>14</v>
      </c>
    </row>
    <row r="25" spans="1:8" x14ac:dyDescent="0.25">
      <c r="A25" s="2" t="s">
        <v>92</v>
      </c>
      <c r="B25" s="2" t="s">
        <v>81</v>
      </c>
      <c r="C25" s="2" t="s">
        <v>86</v>
      </c>
      <c r="D25" s="2" t="s">
        <v>64</v>
      </c>
      <c r="E25" s="2" t="s">
        <v>5</v>
      </c>
      <c r="F25" s="2" t="s">
        <v>25</v>
      </c>
      <c r="G25" s="2" t="s">
        <v>14</v>
      </c>
    </row>
    <row r="26" spans="1:8" x14ac:dyDescent="0.25">
      <c r="A26" s="2" t="s">
        <v>85</v>
      </c>
      <c r="B26" s="2" t="s">
        <v>81</v>
      </c>
      <c r="C26" s="2" t="s">
        <v>86</v>
      </c>
      <c r="D26" s="2" t="s">
        <v>53</v>
      </c>
      <c r="E26" s="2" t="s">
        <v>57</v>
      </c>
      <c r="F26" s="2" t="s">
        <v>5</v>
      </c>
      <c r="G26" s="2" t="s">
        <v>58</v>
      </c>
    </row>
    <row r="27" spans="1:8" x14ac:dyDescent="0.25">
      <c r="A27" s="2" t="s">
        <v>271</v>
      </c>
      <c r="B27" s="2" t="s">
        <v>214</v>
      </c>
      <c r="C27" s="2" t="s">
        <v>82</v>
      </c>
      <c r="D27" s="2" t="s">
        <v>54</v>
      </c>
      <c r="E27" s="2" t="s">
        <v>72</v>
      </c>
      <c r="F27" s="2" t="s">
        <v>73</v>
      </c>
      <c r="G27" s="2" t="s">
        <v>58</v>
      </c>
      <c r="H27" s="2" t="s">
        <v>53</v>
      </c>
    </row>
    <row r="28" spans="1:8" x14ac:dyDescent="0.25">
      <c r="A28" s="2" t="s">
        <v>223</v>
      </c>
      <c r="B28" s="2" t="s">
        <v>214</v>
      </c>
      <c r="C28" s="2" t="s">
        <v>82</v>
      </c>
      <c r="D28" s="2" t="s">
        <v>69</v>
      </c>
      <c r="E28" s="2" t="s">
        <v>53</v>
      </c>
      <c r="F28" s="2" t="s">
        <v>72</v>
      </c>
      <c r="G28" s="2" t="s">
        <v>58</v>
      </c>
      <c r="H28" s="2" t="s">
        <v>54</v>
      </c>
    </row>
    <row r="29" spans="1:8" x14ac:dyDescent="0.25">
      <c r="A29" s="2" t="s">
        <v>135</v>
      </c>
      <c r="B29" s="2" t="s">
        <v>128</v>
      </c>
      <c r="C29" s="2" t="s">
        <v>86</v>
      </c>
      <c r="D29" s="2" t="s">
        <v>79</v>
      </c>
      <c r="E29" s="2" t="s">
        <v>47</v>
      </c>
      <c r="F29" s="2" t="s">
        <v>54</v>
      </c>
      <c r="G29" s="2" t="s">
        <v>64</v>
      </c>
    </row>
    <row r="30" spans="1:8" x14ac:dyDescent="0.25">
      <c r="A30" s="2" t="s">
        <v>80</v>
      </c>
      <c r="B30" s="2" t="s">
        <v>81</v>
      </c>
      <c r="C30" s="2" t="s">
        <v>82</v>
      </c>
      <c r="D30" s="2" t="s">
        <v>341</v>
      </c>
      <c r="E30" s="2" t="s">
        <v>47</v>
      </c>
      <c r="F30" s="2" t="s">
        <v>24</v>
      </c>
      <c r="G30" s="2" t="s">
        <v>64</v>
      </c>
      <c r="H30" s="2" t="s">
        <v>67</v>
      </c>
    </row>
    <row r="31" spans="1:8" x14ac:dyDescent="0.25">
      <c r="A31" s="2" t="s">
        <v>168</v>
      </c>
      <c r="B31" s="2" t="s">
        <v>128</v>
      </c>
      <c r="C31" s="2" t="s">
        <v>82</v>
      </c>
      <c r="D31" s="2" t="s">
        <v>51</v>
      </c>
      <c r="E31" s="2" t="s">
        <v>58</v>
      </c>
      <c r="F31" s="2" t="s">
        <v>21</v>
      </c>
      <c r="G31" s="2" t="s">
        <v>64</v>
      </c>
      <c r="H31" s="2" t="s">
        <v>65</v>
      </c>
    </row>
    <row r="32" spans="1:8" x14ac:dyDescent="0.25">
      <c r="A32" s="2" t="s">
        <v>162</v>
      </c>
      <c r="B32" s="2" t="s">
        <v>128</v>
      </c>
      <c r="C32" s="2" t="s">
        <v>86</v>
      </c>
      <c r="D32" s="2" t="s">
        <v>360</v>
      </c>
      <c r="E32" s="2" t="s">
        <v>352</v>
      </c>
      <c r="F32" s="2" t="s">
        <v>51</v>
      </c>
      <c r="G32" s="2" t="s">
        <v>65</v>
      </c>
    </row>
    <row r="33" spans="1:8" x14ac:dyDescent="0.25">
      <c r="A33" s="2" t="s">
        <v>160</v>
      </c>
      <c r="B33" s="2" t="s">
        <v>128</v>
      </c>
      <c r="C33" s="2" t="s">
        <v>86</v>
      </c>
      <c r="D33" s="2" t="s">
        <v>21</v>
      </c>
      <c r="E33" s="2" t="s">
        <v>28</v>
      </c>
      <c r="F33" s="2" t="s">
        <v>67</v>
      </c>
      <c r="G33" s="2" t="s">
        <v>339</v>
      </c>
    </row>
    <row r="34" spans="1:8" x14ac:dyDescent="0.25">
      <c r="A34" s="2" t="s">
        <v>192</v>
      </c>
      <c r="B34" s="2" t="s">
        <v>128</v>
      </c>
      <c r="C34" s="2" t="s">
        <v>86</v>
      </c>
      <c r="D34" s="2" t="s">
        <v>354</v>
      </c>
      <c r="E34" s="2" t="s">
        <v>53</v>
      </c>
      <c r="F34" s="2" t="s">
        <v>54</v>
      </c>
      <c r="G34" s="2" t="s">
        <v>47</v>
      </c>
    </row>
    <row r="35" spans="1:8" x14ac:dyDescent="0.25">
      <c r="A35" s="2" t="s">
        <v>207</v>
      </c>
      <c r="B35" s="2" t="s">
        <v>128</v>
      </c>
      <c r="C35" s="2" t="s">
        <v>86</v>
      </c>
      <c r="D35" s="2" t="s">
        <v>14</v>
      </c>
      <c r="E35" s="2" t="s">
        <v>12</v>
      </c>
      <c r="F35" s="2" t="s">
        <v>57</v>
      </c>
      <c r="G35" s="2" t="s">
        <v>20</v>
      </c>
    </row>
    <row r="36" spans="1:8" x14ac:dyDescent="0.25">
      <c r="A36" s="2" t="s">
        <v>166</v>
      </c>
      <c r="B36" s="2" t="s">
        <v>128</v>
      </c>
      <c r="C36" s="2" t="s">
        <v>82</v>
      </c>
      <c r="D36" s="2" t="s">
        <v>16</v>
      </c>
      <c r="E36" s="2" t="s">
        <v>28</v>
      </c>
      <c r="F36" s="2" t="s">
        <v>24</v>
      </c>
      <c r="G36" s="2" t="s">
        <v>20</v>
      </c>
      <c r="H36" s="2" t="s">
        <v>67</v>
      </c>
    </row>
    <row r="37" spans="1:8" x14ac:dyDescent="0.25">
      <c r="A37" s="2" t="s">
        <v>103</v>
      </c>
      <c r="B37" s="2" t="s">
        <v>81</v>
      </c>
      <c r="C37" s="2" t="s">
        <v>82</v>
      </c>
      <c r="D37" s="2" t="s">
        <v>353</v>
      </c>
      <c r="E37" s="2" t="s">
        <v>76</v>
      </c>
      <c r="F37" s="2" t="s">
        <v>78</v>
      </c>
      <c r="G37" s="2" t="s">
        <v>345</v>
      </c>
      <c r="H37" s="2" t="s">
        <v>47</v>
      </c>
    </row>
    <row r="38" spans="1:8" x14ac:dyDescent="0.25">
      <c r="A38" s="2" t="s">
        <v>111</v>
      </c>
      <c r="B38" s="2" t="s">
        <v>81</v>
      </c>
      <c r="C38" s="2" t="s">
        <v>82</v>
      </c>
      <c r="D38" s="2" t="s">
        <v>18</v>
      </c>
      <c r="E38" s="2" t="s">
        <v>25</v>
      </c>
      <c r="F38" s="2" t="s">
        <v>5</v>
      </c>
      <c r="G38" s="2" t="s">
        <v>24</v>
      </c>
      <c r="H38" s="2" t="s">
        <v>64</v>
      </c>
    </row>
    <row r="39" spans="1:8" x14ac:dyDescent="0.25">
      <c r="A39" s="2" t="s">
        <v>208</v>
      </c>
      <c r="B39" s="2" t="s">
        <v>128</v>
      </c>
      <c r="C39" s="2" t="s">
        <v>86</v>
      </c>
      <c r="D39" s="2" t="s">
        <v>29</v>
      </c>
      <c r="E39" s="2" t="s">
        <v>27</v>
      </c>
      <c r="F39" s="2" t="s">
        <v>57</v>
      </c>
      <c r="G39" s="2" t="s">
        <v>67</v>
      </c>
    </row>
    <row r="40" spans="1:8" x14ac:dyDescent="0.25">
      <c r="A40" s="2" t="s">
        <v>98</v>
      </c>
      <c r="B40" s="2" t="s">
        <v>81</v>
      </c>
      <c r="C40" s="2" t="s">
        <v>86</v>
      </c>
      <c r="D40" s="2" t="s">
        <v>16</v>
      </c>
      <c r="E40" s="2" t="s">
        <v>28</v>
      </c>
      <c r="F40" s="2" t="s">
        <v>24</v>
      </c>
      <c r="G40" s="2" t="s">
        <v>67</v>
      </c>
    </row>
    <row r="41" spans="1:8" x14ac:dyDescent="0.25">
      <c r="A41" s="2" t="s">
        <v>110</v>
      </c>
      <c r="B41" s="2" t="s">
        <v>81</v>
      </c>
      <c r="C41" s="2" t="s">
        <v>86</v>
      </c>
      <c r="D41" s="2" t="s">
        <v>341</v>
      </c>
      <c r="E41" s="2" t="s">
        <v>47</v>
      </c>
      <c r="F41" s="2" t="s">
        <v>24</v>
      </c>
      <c r="G41" s="2" t="s">
        <v>67</v>
      </c>
    </row>
    <row r="42" spans="1:8" x14ac:dyDescent="0.25">
      <c r="A42" s="2" t="s">
        <v>200</v>
      </c>
      <c r="B42" s="2" t="s">
        <v>128</v>
      </c>
      <c r="C42" s="2" t="s">
        <v>86</v>
      </c>
      <c r="D42" s="2" t="s">
        <v>20</v>
      </c>
      <c r="E42" s="2" t="s">
        <v>16</v>
      </c>
      <c r="F42" s="2" t="s">
        <v>14</v>
      </c>
      <c r="G42" s="2" t="s">
        <v>67</v>
      </c>
    </row>
    <row r="43" spans="1:8" x14ac:dyDescent="0.25">
      <c r="A43" s="2" t="s">
        <v>198</v>
      </c>
      <c r="B43" s="2" t="s">
        <v>128</v>
      </c>
      <c r="C43" s="2" t="s">
        <v>86</v>
      </c>
      <c r="D43" s="2" t="s">
        <v>43</v>
      </c>
      <c r="E43" s="2" t="s">
        <v>51</v>
      </c>
      <c r="F43" s="2" t="s">
        <v>72</v>
      </c>
      <c r="G43" s="2" t="s">
        <v>78</v>
      </c>
    </row>
    <row r="44" spans="1:8" x14ac:dyDescent="0.25">
      <c r="A44" s="2" t="s">
        <v>170</v>
      </c>
      <c r="B44" s="2" t="s">
        <v>128</v>
      </c>
      <c r="C44" s="2" t="s">
        <v>86</v>
      </c>
      <c r="D44" s="2" t="s">
        <v>327</v>
      </c>
      <c r="E44" s="2" t="s">
        <v>28</v>
      </c>
      <c r="F44" s="2" t="s">
        <v>29</v>
      </c>
      <c r="G44" s="2" t="s">
        <v>25</v>
      </c>
    </row>
    <row r="45" spans="1:8" x14ac:dyDescent="0.25">
      <c r="A45" s="2" t="s">
        <v>138</v>
      </c>
      <c r="B45" s="2" t="s">
        <v>128</v>
      </c>
      <c r="C45" s="2" t="s">
        <v>86</v>
      </c>
      <c r="D45" s="2" t="s">
        <v>335</v>
      </c>
      <c r="E45" s="2" t="s">
        <v>53</v>
      </c>
      <c r="F45" s="2" t="s">
        <v>56</v>
      </c>
      <c r="G45" s="2" t="s">
        <v>25</v>
      </c>
    </row>
    <row r="46" spans="1:8" x14ac:dyDescent="0.25">
      <c r="A46" s="2" t="s">
        <v>115</v>
      </c>
      <c r="B46" s="2" t="s">
        <v>81</v>
      </c>
      <c r="C46" s="2" t="s">
        <v>86</v>
      </c>
      <c r="D46" s="2" t="s">
        <v>10</v>
      </c>
      <c r="E46" s="2" t="s">
        <v>5</v>
      </c>
      <c r="F46" s="2" t="s">
        <v>65</v>
      </c>
      <c r="G46" s="2" t="s">
        <v>26</v>
      </c>
    </row>
    <row r="47" spans="1:8" x14ac:dyDescent="0.25">
      <c r="A47" s="2" t="s">
        <v>230</v>
      </c>
      <c r="B47" s="2" t="s">
        <v>214</v>
      </c>
      <c r="C47" s="2" t="s">
        <v>86</v>
      </c>
      <c r="D47" s="2" t="s">
        <v>57</v>
      </c>
      <c r="E47" s="2" t="s">
        <v>53</v>
      </c>
      <c r="F47" s="2" t="s">
        <v>72</v>
      </c>
      <c r="G47" s="2" t="s">
        <v>49</v>
      </c>
    </row>
    <row r="48" spans="1:8" x14ac:dyDescent="0.25">
      <c r="A48" s="2" t="s">
        <v>242</v>
      </c>
      <c r="B48" s="2" t="s">
        <v>214</v>
      </c>
      <c r="C48" s="2" t="s">
        <v>86</v>
      </c>
      <c r="D48" s="2" t="s">
        <v>53</v>
      </c>
      <c r="E48" s="2" t="s">
        <v>37</v>
      </c>
      <c r="F48" s="2" t="s">
        <v>35</v>
      </c>
      <c r="G48" s="2" t="s">
        <v>49</v>
      </c>
    </row>
    <row r="49" spans="1:8" x14ac:dyDescent="0.25">
      <c r="A49" s="2" t="s">
        <v>202</v>
      </c>
      <c r="B49" s="2" t="s">
        <v>128</v>
      </c>
      <c r="C49" s="2" t="s">
        <v>86</v>
      </c>
      <c r="D49" s="2" t="s">
        <v>360</v>
      </c>
      <c r="E49" s="2" t="s">
        <v>61</v>
      </c>
      <c r="F49" s="2" t="s">
        <v>352</v>
      </c>
      <c r="G49" s="2" t="s">
        <v>51</v>
      </c>
    </row>
    <row r="50" spans="1:8" x14ac:dyDescent="0.25">
      <c r="A50" s="2" t="s">
        <v>137</v>
      </c>
      <c r="B50" s="2" t="s">
        <v>128</v>
      </c>
      <c r="C50" s="2" t="s">
        <v>82</v>
      </c>
      <c r="D50" s="2" t="s">
        <v>335</v>
      </c>
      <c r="E50" s="2" t="s">
        <v>8</v>
      </c>
      <c r="F50" s="2" t="s">
        <v>64</v>
      </c>
      <c r="G50" s="2" t="s">
        <v>51</v>
      </c>
      <c r="H50" s="2" t="s">
        <v>28</v>
      </c>
    </row>
    <row r="51" spans="1:8" x14ac:dyDescent="0.25">
      <c r="A51" s="2" t="s">
        <v>203</v>
      </c>
      <c r="B51" s="2" t="s">
        <v>128</v>
      </c>
      <c r="C51" s="2" t="s">
        <v>82</v>
      </c>
      <c r="D51" s="2" t="s">
        <v>61</v>
      </c>
      <c r="E51" s="2" t="s">
        <v>350</v>
      </c>
      <c r="F51" s="2" t="s">
        <v>72</v>
      </c>
      <c r="G51" s="2" t="s">
        <v>51</v>
      </c>
      <c r="H51" s="2" t="s">
        <v>65</v>
      </c>
    </row>
    <row r="52" spans="1:8" x14ac:dyDescent="0.25">
      <c r="A52" s="2" t="s">
        <v>233</v>
      </c>
      <c r="B52" s="2" t="s">
        <v>214</v>
      </c>
      <c r="C52" s="2" t="s">
        <v>86</v>
      </c>
      <c r="D52" s="2" t="s">
        <v>69</v>
      </c>
      <c r="E52" s="2" t="s">
        <v>72</v>
      </c>
      <c r="F52" s="2" t="s">
        <v>5</v>
      </c>
      <c r="G52" s="2" t="s">
        <v>74</v>
      </c>
    </row>
    <row r="53" spans="1:8" x14ac:dyDescent="0.25">
      <c r="A53" s="2" t="s">
        <v>94</v>
      </c>
      <c r="B53" s="2" t="s">
        <v>81</v>
      </c>
      <c r="C53" s="2" t="s">
        <v>86</v>
      </c>
      <c r="D53" s="2" t="s">
        <v>43</v>
      </c>
      <c r="E53" s="2" t="s">
        <v>72</v>
      </c>
      <c r="F53" s="2" t="s">
        <v>53</v>
      </c>
      <c r="G53" s="2" t="s">
        <v>74</v>
      </c>
    </row>
    <row r="54" spans="1:8" x14ac:dyDescent="0.25">
      <c r="A54" s="2" t="s">
        <v>221</v>
      </c>
      <c r="B54" s="2" t="s">
        <v>214</v>
      </c>
      <c r="C54" s="2" t="s">
        <v>86</v>
      </c>
      <c r="D54" s="2" t="s">
        <v>56</v>
      </c>
      <c r="E54" s="2" t="s">
        <v>53</v>
      </c>
      <c r="F54" s="2" t="s">
        <v>58</v>
      </c>
      <c r="G54" s="2" t="s">
        <v>72</v>
      </c>
    </row>
    <row r="55" spans="1:8" x14ac:dyDescent="0.25">
      <c r="A55" s="2" t="s">
        <v>229</v>
      </c>
      <c r="B55" s="2" t="s">
        <v>214</v>
      </c>
      <c r="C55" s="2" t="s">
        <v>86</v>
      </c>
      <c r="D55" s="2" t="s">
        <v>10</v>
      </c>
      <c r="E55" s="2" t="s">
        <v>53</v>
      </c>
      <c r="F55" s="2" t="s">
        <v>58</v>
      </c>
      <c r="G55" s="2" t="s">
        <v>72</v>
      </c>
    </row>
    <row r="56" spans="1:8" x14ac:dyDescent="0.25">
      <c r="A56" s="2" t="s">
        <v>236</v>
      </c>
      <c r="B56" s="2" t="s">
        <v>214</v>
      </c>
      <c r="C56" s="2" t="s">
        <v>86</v>
      </c>
      <c r="D56" s="2" t="s">
        <v>39</v>
      </c>
      <c r="E56" s="2" t="s">
        <v>53</v>
      </c>
      <c r="F56" s="2" t="s">
        <v>58</v>
      </c>
      <c r="G56" s="2" t="s">
        <v>72</v>
      </c>
    </row>
    <row r="57" spans="1:8" x14ac:dyDescent="0.25">
      <c r="A57" s="2" t="s">
        <v>218</v>
      </c>
      <c r="B57" s="2" t="s">
        <v>214</v>
      </c>
      <c r="C57" s="2" t="s">
        <v>86</v>
      </c>
      <c r="D57" s="2" t="s">
        <v>74</v>
      </c>
      <c r="E57" s="2" t="s">
        <v>33</v>
      </c>
      <c r="F57" s="2" t="s">
        <v>5</v>
      </c>
      <c r="G57" s="2" t="s">
        <v>72</v>
      </c>
    </row>
    <row r="58" spans="1:8" x14ac:dyDescent="0.25">
      <c r="A58" s="2" t="s">
        <v>262</v>
      </c>
      <c r="B58" s="2" t="s">
        <v>214</v>
      </c>
      <c r="C58" s="2" t="s">
        <v>86</v>
      </c>
      <c r="D58" s="2" t="s">
        <v>74</v>
      </c>
      <c r="E58" s="2" t="s">
        <v>49</v>
      </c>
      <c r="F58" s="2" t="s">
        <v>45</v>
      </c>
      <c r="G58" s="2" t="s">
        <v>72</v>
      </c>
    </row>
    <row r="59" spans="1:8" x14ac:dyDescent="0.25">
      <c r="A59" s="2" t="s">
        <v>270</v>
      </c>
      <c r="B59" s="2" t="s">
        <v>214</v>
      </c>
      <c r="C59" s="2" t="s">
        <v>86</v>
      </c>
      <c r="D59" s="3" t="s">
        <v>53</v>
      </c>
      <c r="E59" s="2" t="s">
        <v>5</v>
      </c>
      <c r="F59" s="2" t="s">
        <v>58</v>
      </c>
      <c r="G59" s="2" t="s">
        <v>72</v>
      </c>
    </row>
    <row r="60" spans="1:8" x14ac:dyDescent="0.25">
      <c r="A60" s="2" t="s">
        <v>220</v>
      </c>
      <c r="B60" s="2" t="s">
        <v>214</v>
      </c>
      <c r="C60" s="2" t="s">
        <v>82</v>
      </c>
      <c r="D60" s="2" t="s">
        <v>74</v>
      </c>
      <c r="E60" s="2" t="s">
        <v>33</v>
      </c>
      <c r="F60" s="2" t="s">
        <v>5</v>
      </c>
      <c r="G60" s="2" t="s">
        <v>72</v>
      </c>
      <c r="H60" s="2" t="s">
        <v>69</v>
      </c>
    </row>
    <row r="61" spans="1:8" x14ac:dyDescent="0.25">
      <c r="A61" s="2" t="s">
        <v>212</v>
      </c>
      <c r="B61" s="2" t="s">
        <v>128</v>
      </c>
      <c r="C61" s="2" t="s">
        <v>86</v>
      </c>
      <c r="D61" s="2" t="s">
        <v>362</v>
      </c>
      <c r="E61" s="2" t="s">
        <v>62</v>
      </c>
      <c r="F61" s="2" t="s">
        <v>67</v>
      </c>
      <c r="G61" s="2" t="s">
        <v>28</v>
      </c>
    </row>
    <row r="62" spans="1:8" x14ac:dyDescent="0.25">
      <c r="A62" s="2" t="s">
        <v>131</v>
      </c>
      <c r="B62" s="2" t="s">
        <v>128</v>
      </c>
      <c r="C62" s="2" t="s">
        <v>82</v>
      </c>
      <c r="D62" s="2" t="s">
        <v>353</v>
      </c>
      <c r="E62" s="2" t="s">
        <v>337</v>
      </c>
      <c r="F62" s="2" t="s">
        <v>353</v>
      </c>
      <c r="G62" s="2" t="s">
        <v>28</v>
      </c>
      <c r="H62" s="2" t="s">
        <v>8</v>
      </c>
    </row>
    <row r="63" spans="1:8" x14ac:dyDescent="0.25">
      <c r="A63" s="2" t="s">
        <v>157</v>
      </c>
      <c r="B63" s="2" t="s">
        <v>128</v>
      </c>
      <c r="C63" s="2" t="s">
        <v>82</v>
      </c>
      <c r="D63" s="2" t="s">
        <v>344</v>
      </c>
      <c r="E63" s="2" t="s">
        <v>353</v>
      </c>
      <c r="F63" s="2" t="s">
        <v>76</v>
      </c>
      <c r="G63" s="2" t="s">
        <v>28</v>
      </c>
      <c r="H63" s="2" t="s">
        <v>51</v>
      </c>
    </row>
    <row r="64" spans="1:8" x14ac:dyDescent="0.25">
      <c r="A64" s="2" t="s">
        <v>179</v>
      </c>
      <c r="B64" s="2" t="s">
        <v>128</v>
      </c>
      <c r="C64" s="2" t="s">
        <v>82</v>
      </c>
      <c r="D64" s="2" t="s">
        <v>20</v>
      </c>
      <c r="E64" s="2" t="s">
        <v>8</v>
      </c>
      <c r="F64" s="2" t="s">
        <v>14</v>
      </c>
      <c r="G64" s="2" t="s">
        <v>28</v>
      </c>
      <c r="H64" s="2" t="s">
        <v>24</v>
      </c>
    </row>
    <row r="65" spans="1:8" x14ac:dyDescent="0.25">
      <c r="A65" s="2" t="s">
        <v>152</v>
      </c>
      <c r="B65" s="2" t="s">
        <v>128</v>
      </c>
      <c r="C65" s="2" t="s">
        <v>82</v>
      </c>
      <c r="D65" s="2" t="s">
        <v>23</v>
      </c>
      <c r="E65" s="2" t="s">
        <v>353</v>
      </c>
      <c r="F65" s="2" t="s">
        <v>12</v>
      </c>
      <c r="G65" s="2" t="s">
        <v>28</v>
      </c>
      <c r="H65" s="2" t="s">
        <v>24</v>
      </c>
    </row>
    <row r="66" spans="1:8" x14ac:dyDescent="0.25">
      <c r="A66" s="2" t="s">
        <v>269</v>
      </c>
      <c r="B66" s="2" t="s">
        <v>214</v>
      </c>
      <c r="C66" s="2" t="s">
        <v>86</v>
      </c>
      <c r="D66" s="2" t="s">
        <v>74</v>
      </c>
      <c r="E66" s="2" t="s">
        <v>5</v>
      </c>
      <c r="F66" s="2" t="s">
        <v>72</v>
      </c>
      <c r="G66" s="2" t="s">
        <v>73</v>
      </c>
    </row>
    <row r="67" spans="1:8" x14ac:dyDescent="0.25">
      <c r="A67" s="2" t="s">
        <v>238</v>
      </c>
      <c r="B67" s="2" t="s">
        <v>214</v>
      </c>
      <c r="C67" s="2" t="s">
        <v>86</v>
      </c>
      <c r="D67" s="2" t="s">
        <v>53</v>
      </c>
      <c r="E67" s="2" t="s">
        <v>58</v>
      </c>
      <c r="F67" s="2" t="s">
        <v>5</v>
      </c>
      <c r="G67" s="2" t="s">
        <v>73</v>
      </c>
    </row>
    <row r="68" spans="1:8" x14ac:dyDescent="0.25">
      <c r="A68" s="2" t="s">
        <v>243</v>
      </c>
      <c r="B68" s="2" t="s">
        <v>214</v>
      </c>
      <c r="C68" s="2" t="s">
        <v>82</v>
      </c>
      <c r="D68" s="2" t="s">
        <v>53</v>
      </c>
      <c r="E68" s="2" t="s">
        <v>65</v>
      </c>
      <c r="F68" s="2" t="s">
        <v>72</v>
      </c>
      <c r="G68" s="2" t="s">
        <v>73</v>
      </c>
      <c r="H68" s="2" t="s">
        <v>58</v>
      </c>
    </row>
    <row r="69" spans="1:8" x14ac:dyDescent="0.25">
      <c r="A69" s="2" t="s">
        <v>164</v>
      </c>
      <c r="B69" s="2" t="s">
        <v>128</v>
      </c>
      <c r="C69" s="2" t="s">
        <v>86</v>
      </c>
      <c r="D69" s="2" t="s">
        <v>62</v>
      </c>
      <c r="E69" s="2" t="s">
        <v>28</v>
      </c>
      <c r="F69" s="2" t="s">
        <v>57</v>
      </c>
      <c r="G69" s="2" t="s">
        <v>53</v>
      </c>
    </row>
    <row r="70" spans="1:8" x14ac:dyDescent="0.25">
      <c r="A70" s="2" t="s">
        <v>273</v>
      </c>
      <c r="B70" s="2" t="s">
        <v>214</v>
      </c>
      <c r="C70" s="2" t="s">
        <v>86</v>
      </c>
      <c r="D70" s="2" t="s">
        <v>54</v>
      </c>
      <c r="E70" s="2" t="s">
        <v>72</v>
      </c>
      <c r="F70" s="2" t="s">
        <v>73</v>
      </c>
      <c r="G70" s="2" t="s">
        <v>53</v>
      </c>
    </row>
    <row r="71" spans="1:8" x14ac:dyDescent="0.25">
      <c r="A71" s="2" t="s">
        <v>204</v>
      </c>
      <c r="B71" s="2" t="s">
        <v>128</v>
      </c>
      <c r="C71" s="2" t="s">
        <v>82</v>
      </c>
      <c r="D71" s="2" t="s">
        <v>360</v>
      </c>
      <c r="E71" s="2" t="s">
        <v>24</v>
      </c>
      <c r="F71" s="2" t="s">
        <v>47</v>
      </c>
      <c r="G71" s="2" t="s">
        <v>53</v>
      </c>
      <c r="H71" s="2" t="s">
        <v>20</v>
      </c>
    </row>
    <row r="72" spans="1:8" x14ac:dyDescent="0.25">
      <c r="A72" s="2" t="s">
        <v>180</v>
      </c>
      <c r="B72" s="2" t="s">
        <v>128</v>
      </c>
      <c r="C72" s="2" t="s">
        <v>82</v>
      </c>
      <c r="D72" s="2" t="s">
        <v>28</v>
      </c>
      <c r="E72" s="2" t="s">
        <v>17</v>
      </c>
      <c r="F72" s="2" t="s">
        <v>24</v>
      </c>
      <c r="G72" s="2" t="s">
        <v>29</v>
      </c>
      <c r="H72" s="2" t="s">
        <v>67</v>
      </c>
    </row>
    <row r="73" spans="1:8" x14ac:dyDescent="0.25">
      <c r="A73" s="2" t="s">
        <v>240</v>
      </c>
      <c r="B73" s="2" t="s">
        <v>214</v>
      </c>
      <c r="C73" s="2" t="s">
        <v>88</v>
      </c>
      <c r="D73" s="2" t="s">
        <v>37</v>
      </c>
    </row>
    <row r="74" spans="1:8" x14ac:dyDescent="0.25">
      <c r="A74" s="2" t="s">
        <v>91</v>
      </c>
      <c r="B74" s="2" t="s">
        <v>81</v>
      </c>
      <c r="C74" s="2" t="s">
        <v>88</v>
      </c>
      <c r="D74" s="2" t="s">
        <v>53</v>
      </c>
    </row>
    <row r="75" spans="1:8" x14ac:dyDescent="0.25">
      <c r="A75" s="2" t="s">
        <v>120</v>
      </c>
      <c r="B75" s="2" t="s">
        <v>81</v>
      </c>
      <c r="C75" s="2" t="s">
        <v>88</v>
      </c>
      <c r="D75" s="2" t="s">
        <v>353</v>
      </c>
    </row>
    <row r="76" spans="1:8" x14ac:dyDescent="0.25">
      <c r="A76" s="2" t="s">
        <v>154</v>
      </c>
      <c r="B76" s="2" t="s">
        <v>128</v>
      </c>
      <c r="C76" s="2" t="s">
        <v>88</v>
      </c>
      <c r="D76" s="2" t="s">
        <v>67</v>
      </c>
    </row>
    <row r="77" spans="1:8" x14ac:dyDescent="0.25">
      <c r="A77" s="2" t="s">
        <v>100</v>
      </c>
      <c r="B77" s="2" t="s">
        <v>81</v>
      </c>
      <c r="C77" s="2" t="s">
        <v>88</v>
      </c>
      <c r="D77" s="2" t="s">
        <v>17</v>
      </c>
    </row>
    <row r="78" spans="1:8" x14ac:dyDescent="0.25">
      <c r="A78" s="2" t="s">
        <v>93</v>
      </c>
      <c r="B78" s="2" t="s">
        <v>81</v>
      </c>
      <c r="C78" s="2" t="s">
        <v>88</v>
      </c>
      <c r="D78" s="3" t="s">
        <v>10</v>
      </c>
    </row>
    <row r="79" spans="1:8" x14ac:dyDescent="0.25">
      <c r="A79" s="2" t="s">
        <v>87</v>
      </c>
      <c r="B79" s="2" t="s">
        <v>81</v>
      </c>
      <c r="C79" s="2" t="s">
        <v>88</v>
      </c>
      <c r="D79" s="2" t="s">
        <v>57</v>
      </c>
    </row>
    <row r="80" spans="1:8" x14ac:dyDescent="0.25">
      <c r="A80" s="2" t="s">
        <v>90</v>
      </c>
      <c r="B80" s="2" t="s">
        <v>81</v>
      </c>
      <c r="C80" s="2" t="s">
        <v>88</v>
      </c>
      <c r="D80" s="2" t="s">
        <v>41</v>
      </c>
    </row>
    <row r="81" spans="1:5" x14ac:dyDescent="0.25">
      <c r="A81" s="2" t="s">
        <v>102</v>
      </c>
      <c r="B81" s="2" t="s">
        <v>81</v>
      </c>
      <c r="C81" s="2" t="s">
        <v>88</v>
      </c>
      <c r="D81" s="2" t="s">
        <v>58</v>
      </c>
    </row>
    <row r="82" spans="1:5" x14ac:dyDescent="0.25">
      <c r="A82" s="2" t="s">
        <v>158</v>
      </c>
      <c r="B82" s="2" t="s">
        <v>128</v>
      </c>
      <c r="C82" s="2" t="s">
        <v>88</v>
      </c>
      <c r="D82" s="2" t="s">
        <v>18</v>
      </c>
    </row>
    <row r="83" spans="1:5" x14ac:dyDescent="0.25">
      <c r="A83" s="2" t="s">
        <v>118</v>
      </c>
      <c r="B83" s="2" t="s">
        <v>81</v>
      </c>
      <c r="C83" s="2" t="s">
        <v>88</v>
      </c>
      <c r="D83" s="2" t="s">
        <v>20</v>
      </c>
    </row>
    <row r="84" spans="1:5" x14ac:dyDescent="0.25">
      <c r="A84" s="2" t="s">
        <v>264</v>
      </c>
      <c r="B84" s="2" t="s">
        <v>214</v>
      </c>
      <c r="C84" s="2" t="s">
        <v>88</v>
      </c>
      <c r="D84" s="2" t="s">
        <v>5</v>
      </c>
    </row>
    <row r="85" spans="1:5" x14ac:dyDescent="0.25">
      <c r="A85" s="2" t="s">
        <v>106</v>
      </c>
      <c r="B85" s="2" t="s">
        <v>81</v>
      </c>
      <c r="C85" s="2" t="s">
        <v>88</v>
      </c>
      <c r="D85" s="2" t="s">
        <v>23</v>
      </c>
    </row>
    <row r="86" spans="1:5" x14ac:dyDescent="0.25">
      <c r="A86" s="2" t="s">
        <v>116</v>
      </c>
      <c r="B86" s="2" t="s">
        <v>81</v>
      </c>
      <c r="C86" s="2" t="s">
        <v>88</v>
      </c>
      <c r="D86" s="2" t="s">
        <v>25</v>
      </c>
    </row>
    <row r="87" spans="1:5" x14ac:dyDescent="0.25">
      <c r="A87" s="2" t="s">
        <v>150</v>
      </c>
      <c r="B87" s="2" t="s">
        <v>128</v>
      </c>
      <c r="C87" s="2" t="s">
        <v>88</v>
      </c>
      <c r="D87" s="2" t="s">
        <v>275</v>
      </c>
    </row>
    <row r="88" spans="1:5" x14ac:dyDescent="0.25">
      <c r="A88" s="2" t="s">
        <v>259</v>
      </c>
      <c r="B88" s="2" t="s">
        <v>214</v>
      </c>
      <c r="C88" s="2" t="s">
        <v>88</v>
      </c>
      <c r="D88" s="2" t="s">
        <v>74</v>
      </c>
    </row>
    <row r="89" spans="1:5" x14ac:dyDescent="0.25">
      <c r="A89" s="2" t="s">
        <v>227</v>
      </c>
      <c r="B89" s="2" t="s">
        <v>214</v>
      </c>
      <c r="C89" s="2" t="s">
        <v>88</v>
      </c>
      <c r="D89" s="2" t="s">
        <v>72</v>
      </c>
    </row>
    <row r="90" spans="1:5" x14ac:dyDescent="0.25">
      <c r="A90" s="2" t="s">
        <v>124</v>
      </c>
      <c r="B90" s="2" t="s">
        <v>81</v>
      </c>
      <c r="C90" s="2" t="s">
        <v>88</v>
      </c>
      <c r="D90" s="2" t="s">
        <v>28</v>
      </c>
    </row>
    <row r="91" spans="1:5" x14ac:dyDescent="0.25">
      <c r="A91" s="2" t="s">
        <v>191</v>
      </c>
      <c r="B91" s="2" t="s">
        <v>128</v>
      </c>
      <c r="C91" s="2" t="s">
        <v>97</v>
      </c>
      <c r="D91" s="2" t="s">
        <v>327</v>
      </c>
      <c r="E91" s="2" t="s">
        <v>60</v>
      </c>
    </row>
    <row r="92" spans="1:5" x14ac:dyDescent="0.25">
      <c r="A92" s="2" t="s">
        <v>183</v>
      </c>
      <c r="B92" s="2" t="s">
        <v>128</v>
      </c>
      <c r="C92" s="2" t="s">
        <v>97</v>
      </c>
      <c r="D92" s="2" t="s">
        <v>329</v>
      </c>
      <c r="E92" s="2" t="s">
        <v>47</v>
      </c>
    </row>
    <row r="93" spans="1:5" x14ac:dyDescent="0.25">
      <c r="A93" s="2" t="s">
        <v>196</v>
      </c>
      <c r="B93" s="2" t="s">
        <v>128</v>
      </c>
      <c r="C93" s="2" t="s">
        <v>97</v>
      </c>
      <c r="D93" s="2" t="s">
        <v>331</v>
      </c>
      <c r="E93" s="2" t="s">
        <v>51</v>
      </c>
    </row>
    <row r="94" spans="1:5" x14ac:dyDescent="0.25">
      <c r="A94" s="2" t="s">
        <v>143</v>
      </c>
      <c r="B94" s="2" t="s">
        <v>128</v>
      </c>
      <c r="C94" s="2" t="s">
        <v>97</v>
      </c>
      <c r="D94" s="2" t="s">
        <v>335</v>
      </c>
      <c r="E94" s="2" t="s">
        <v>53</v>
      </c>
    </row>
    <row r="95" spans="1:5" x14ac:dyDescent="0.25">
      <c r="A95" s="2" t="s">
        <v>121</v>
      </c>
      <c r="B95" s="2" t="s">
        <v>81</v>
      </c>
      <c r="C95" s="2" t="s">
        <v>97</v>
      </c>
      <c r="D95" s="2" t="s">
        <v>353</v>
      </c>
      <c r="E95" s="2" t="s">
        <v>76</v>
      </c>
    </row>
    <row r="96" spans="1:5" x14ac:dyDescent="0.25">
      <c r="A96" s="2" t="s">
        <v>187</v>
      </c>
      <c r="B96" s="2" t="s">
        <v>128</v>
      </c>
      <c r="C96" s="2" t="s">
        <v>97</v>
      </c>
      <c r="D96" s="2" t="s">
        <v>355</v>
      </c>
      <c r="E96" s="2" t="s">
        <v>20</v>
      </c>
    </row>
    <row r="97" spans="1:5" x14ac:dyDescent="0.25">
      <c r="A97" s="2" t="s">
        <v>201</v>
      </c>
      <c r="B97" s="2" t="s">
        <v>128</v>
      </c>
      <c r="C97" s="2" t="s">
        <v>97</v>
      </c>
      <c r="D97" s="2" t="s">
        <v>62</v>
      </c>
      <c r="E97" s="2" t="s">
        <v>29</v>
      </c>
    </row>
    <row r="98" spans="1:5" x14ac:dyDescent="0.25">
      <c r="A98" s="2" t="s">
        <v>125</v>
      </c>
      <c r="B98" s="2" t="s">
        <v>81</v>
      </c>
      <c r="C98" s="2" t="s">
        <v>97</v>
      </c>
      <c r="D98" s="2" t="s">
        <v>24</v>
      </c>
      <c r="E98" s="2" t="s">
        <v>10</v>
      </c>
    </row>
    <row r="99" spans="1:5" x14ac:dyDescent="0.25">
      <c r="A99" s="2" t="s">
        <v>99</v>
      </c>
      <c r="B99" s="2" t="s">
        <v>81</v>
      </c>
      <c r="C99" s="2" t="s">
        <v>97</v>
      </c>
      <c r="D99" s="2" t="s">
        <v>16</v>
      </c>
      <c r="E99" s="2" t="s">
        <v>20</v>
      </c>
    </row>
    <row r="100" spans="1:5" x14ac:dyDescent="0.25">
      <c r="A100" s="2" t="s">
        <v>117</v>
      </c>
      <c r="B100" s="2" t="s">
        <v>81</v>
      </c>
      <c r="C100" s="2" t="s">
        <v>97</v>
      </c>
      <c r="D100" s="2" t="s">
        <v>5</v>
      </c>
      <c r="E100" s="2" t="s">
        <v>56</v>
      </c>
    </row>
    <row r="101" spans="1:5" x14ac:dyDescent="0.25">
      <c r="A101" s="2" t="s">
        <v>96</v>
      </c>
      <c r="B101" s="2" t="s">
        <v>81</v>
      </c>
      <c r="C101" s="2" t="s">
        <v>97</v>
      </c>
      <c r="D101" s="2" t="s">
        <v>56</v>
      </c>
      <c r="E101" s="2" t="s">
        <v>25</v>
      </c>
    </row>
    <row r="102" spans="1:5" x14ac:dyDescent="0.25">
      <c r="A102" s="2" t="s">
        <v>129</v>
      </c>
      <c r="B102" s="2" t="s">
        <v>128</v>
      </c>
      <c r="C102" s="2" t="s">
        <v>97</v>
      </c>
      <c r="D102" s="2" t="s">
        <v>332</v>
      </c>
      <c r="E102" s="2" t="s">
        <v>54</v>
      </c>
    </row>
    <row r="103" spans="1:5" x14ac:dyDescent="0.25">
      <c r="A103" s="2" t="s">
        <v>151</v>
      </c>
      <c r="B103" s="2" t="s">
        <v>128</v>
      </c>
      <c r="C103" s="2" t="s">
        <v>97</v>
      </c>
      <c r="D103" s="2" t="s">
        <v>334</v>
      </c>
      <c r="E103" s="2" t="s">
        <v>28</v>
      </c>
    </row>
    <row r="104" spans="1:5" x14ac:dyDescent="0.25">
      <c r="A104" s="2" t="s">
        <v>136</v>
      </c>
      <c r="B104" s="2" t="s">
        <v>128</v>
      </c>
      <c r="C104" s="2" t="s">
        <v>97</v>
      </c>
      <c r="D104" s="2" t="s">
        <v>335</v>
      </c>
      <c r="E104" s="2" t="s">
        <v>53</v>
      </c>
    </row>
    <row r="105" spans="1:5" x14ac:dyDescent="0.25">
      <c r="A105" s="2" t="s">
        <v>104</v>
      </c>
      <c r="B105" s="2" t="s">
        <v>81</v>
      </c>
      <c r="C105" s="2" t="s">
        <v>97</v>
      </c>
      <c r="D105" s="2" t="s">
        <v>41</v>
      </c>
      <c r="E105" s="2" t="s">
        <v>5</v>
      </c>
    </row>
    <row r="106" spans="1:5" x14ac:dyDescent="0.25">
      <c r="A106" s="2" t="s">
        <v>165</v>
      </c>
      <c r="B106" s="2" t="s">
        <v>128</v>
      </c>
      <c r="C106" s="2" t="s">
        <v>97</v>
      </c>
      <c r="D106" s="2" t="s">
        <v>43</v>
      </c>
      <c r="E106" s="2" t="s">
        <v>53</v>
      </c>
    </row>
    <row r="107" spans="1:5" x14ac:dyDescent="0.25">
      <c r="A107" s="2" t="s">
        <v>184</v>
      </c>
      <c r="B107" s="2" t="s">
        <v>128</v>
      </c>
      <c r="C107" s="2" t="s">
        <v>97</v>
      </c>
      <c r="D107" s="2" t="s">
        <v>58</v>
      </c>
      <c r="E107" s="2" t="s">
        <v>57</v>
      </c>
    </row>
    <row r="108" spans="1:5" x14ac:dyDescent="0.25">
      <c r="A108" s="2" t="s">
        <v>199</v>
      </c>
      <c r="B108" s="2" t="s">
        <v>128</v>
      </c>
      <c r="C108" s="2" t="s">
        <v>97</v>
      </c>
      <c r="D108" s="2" t="s">
        <v>58</v>
      </c>
      <c r="E108" s="2" t="s">
        <v>72</v>
      </c>
    </row>
    <row r="109" spans="1:5" x14ac:dyDescent="0.25">
      <c r="A109" s="2" t="s">
        <v>123</v>
      </c>
      <c r="B109" s="2" t="s">
        <v>81</v>
      </c>
      <c r="C109" s="2" t="s">
        <v>97</v>
      </c>
      <c r="D109" s="2" t="s">
        <v>341</v>
      </c>
      <c r="E109" s="2" t="s">
        <v>24</v>
      </c>
    </row>
    <row r="110" spans="1:5" x14ac:dyDescent="0.25">
      <c r="A110" s="2" t="s">
        <v>109</v>
      </c>
      <c r="B110" s="2" t="s">
        <v>81</v>
      </c>
      <c r="C110" s="2" t="s">
        <v>97</v>
      </c>
      <c r="D110" s="2" t="s">
        <v>47</v>
      </c>
      <c r="E110" s="2" t="s">
        <v>66</v>
      </c>
    </row>
    <row r="111" spans="1:5" x14ac:dyDescent="0.25">
      <c r="A111" s="2" t="s">
        <v>177</v>
      </c>
      <c r="B111" s="2" t="s">
        <v>128</v>
      </c>
      <c r="C111" s="2" t="s">
        <v>97</v>
      </c>
      <c r="D111" s="2" t="s">
        <v>5</v>
      </c>
      <c r="E111" s="2" t="s">
        <v>53</v>
      </c>
    </row>
    <row r="112" spans="1:5" x14ac:dyDescent="0.25">
      <c r="A112" s="2" t="s">
        <v>253</v>
      </c>
      <c r="B112" s="2" t="s">
        <v>214</v>
      </c>
      <c r="C112" s="2" t="s">
        <v>97</v>
      </c>
      <c r="D112" s="2" t="s">
        <v>66</v>
      </c>
      <c r="E112" s="2" t="s">
        <v>72</v>
      </c>
    </row>
    <row r="113" spans="1:6" x14ac:dyDescent="0.25">
      <c r="A113" s="2" t="s">
        <v>119</v>
      </c>
      <c r="B113" s="2" t="s">
        <v>81</v>
      </c>
      <c r="C113" s="2" t="s">
        <v>97</v>
      </c>
      <c r="D113" s="2" t="s">
        <v>21</v>
      </c>
      <c r="E113" s="2" t="s">
        <v>54</v>
      </c>
    </row>
    <row r="114" spans="1:6" x14ac:dyDescent="0.25">
      <c r="A114" s="2" t="s">
        <v>108</v>
      </c>
      <c r="B114" s="2" t="s">
        <v>81</v>
      </c>
      <c r="C114" s="2" t="s">
        <v>97</v>
      </c>
      <c r="D114" s="2" t="s">
        <v>78</v>
      </c>
      <c r="E114" s="2" t="s">
        <v>47</v>
      </c>
    </row>
    <row r="115" spans="1:6" x14ac:dyDescent="0.25">
      <c r="A115" s="2" t="s">
        <v>174</v>
      </c>
      <c r="B115" s="2" t="s">
        <v>128</v>
      </c>
      <c r="C115" s="2" t="s">
        <v>97</v>
      </c>
      <c r="D115" s="2" t="s">
        <v>60</v>
      </c>
      <c r="E115" s="2" t="s">
        <v>53</v>
      </c>
    </row>
    <row r="116" spans="1:6" x14ac:dyDescent="0.25">
      <c r="A116" s="2" t="s">
        <v>182</v>
      </c>
      <c r="B116" s="2" t="s">
        <v>128</v>
      </c>
      <c r="C116" s="2" t="s">
        <v>97</v>
      </c>
      <c r="D116" s="2" t="s">
        <v>350</v>
      </c>
      <c r="E116" s="2" t="s">
        <v>51</v>
      </c>
    </row>
    <row r="117" spans="1:6" x14ac:dyDescent="0.25">
      <c r="A117" s="2" t="s">
        <v>241</v>
      </c>
      <c r="B117" s="2" t="s">
        <v>214</v>
      </c>
      <c r="C117" s="2" t="s">
        <v>97</v>
      </c>
      <c r="D117" s="2" t="s">
        <v>74</v>
      </c>
      <c r="E117" s="2" t="s">
        <v>33</v>
      </c>
    </row>
    <row r="118" spans="1:6" x14ac:dyDescent="0.25">
      <c r="A118" s="2" t="s">
        <v>267</v>
      </c>
      <c r="B118" s="2" t="s">
        <v>214</v>
      </c>
      <c r="C118" s="2" t="s">
        <v>97</v>
      </c>
      <c r="D118" s="2" t="s">
        <v>74</v>
      </c>
      <c r="E118" s="2" t="s">
        <v>72</v>
      </c>
    </row>
    <row r="119" spans="1:6" x14ac:dyDescent="0.25">
      <c r="A119" s="2" t="s">
        <v>249</v>
      </c>
      <c r="B119" s="2" t="s">
        <v>214</v>
      </c>
      <c r="C119" s="2" t="s">
        <v>97</v>
      </c>
      <c r="D119" s="2" t="s">
        <v>74</v>
      </c>
      <c r="E119" s="2" t="s">
        <v>47</v>
      </c>
    </row>
    <row r="120" spans="1:6" x14ac:dyDescent="0.25">
      <c r="A120" s="2" t="s">
        <v>255</v>
      </c>
      <c r="B120" s="2" t="s">
        <v>214</v>
      </c>
      <c r="C120" s="2" t="s">
        <v>97</v>
      </c>
      <c r="D120" s="2" t="s">
        <v>74</v>
      </c>
      <c r="E120" s="2" t="s">
        <v>66</v>
      </c>
    </row>
    <row r="121" spans="1:6" x14ac:dyDescent="0.25">
      <c r="A121" s="2" t="s">
        <v>228</v>
      </c>
      <c r="B121" s="2" t="s">
        <v>214</v>
      </c>
      <c r="C121" s="2" t="s">
        <v>97</v>
      </c>
      <c r="D121" s="2" t="s">
        <v>72</v>
      </c>
      <c r="E121" s="2" t="s">
        <v>30</v>
      </c>
    </row>
    <row r="122" spans="1:6" x14ac:dyDescent="0.25">
      <c r="A122" s="2" t="s">
        <v>226</v>
      </c>
      <c r="B122" s="2" t="s">
        <v>214</v>
      </c>
      <c r="C122" s="2" t="s">
        <v>97</v>
      </c>
      <c r="D122" s="2" t="s">
        <v>72</v>
      </c>
      <c r="E122" s="2" t="s">
        <v>5</v>
      </c>
    </row>
    <row r="123" spans="1:6" x14ac:dyDescent="0.25">
      <c r="A123" s="2" t="s">
        <v>251</v>
      </c>
      <c r="B123" s="2" t="s">
        <v>214</v>
      </c>
      <c r="C123" s="2" t="s">
        <v>97</v>
      </c>
      <c r="D123" s="2" t="s">
        <v>53</v>
      </c>
      <c r="E123" s="2" t="s">
        <v>65</v>
      </c>
    </row>
    <row r="124" spans="1:6" x14ac:dyDescent="0.25">
      <c r="A124" s="2" t="s">
        <v>173</v>
      </c>
      <c r="B124" s="2" t="s">
        <v>128</v>
      </c>
      <c r="C124" s="2" t="s">
        <v>97</v>
      </c>
      <c r="D124" s="2" t="s">
        <v>53</v>
      </c>
      <c r="E124" s="2" t="s">
        <v>28</v>
      </c>
    </row>
    <row r="125" spans="1:6" x14ac:dyDescent="0.25">
      <c r="A125" s="2" t="s">
        <v>144</v>
      </c>
      <c r="B125" s="2" t="s">
        <v>128</v>
      </c>
      <c r="C125" s="2" t="s">
        <v>84</v>
      </c>
      <c r="D125" s="2" t="s">
        <v>335</v>
      </c>
      <c r="E125" s="2" t="s">
        <v>10</v>
      </c>
      <c r="F125" s="2" t="s">
        <v>5</v>
      </c>
    </row>
    <row r="126" spans="1:6" x14ac:dyDescent="0.25">
      <c r="A126" s="2" t="s">
        <v>142</v>
      </c>
      <c r="B126" s="2" t="s">
        <v>128</v>
      </c>
      <c r="C126" s="2" t="s">
        <v>84</v>
      </c>
      <c r="D126" s="2" t="s">
        <v>357</v>
      </c>
      <c r="E126" s="2" t="s">
        <v>47</v>
      </c>
      <c r="F126" s="2" t="s">
        <v>20</v>
      </c>
    </row>
    <row r="127" spans="1:6" x14ac:dyDescent="0.25">
      <c r="A127" s="2" t="s">
        <v>141</v>
      </c>
      <c r="B127" s="2" t="s">
        <v>128</v>
      </c>
      <c r="C127" s="2" t="s">
        <v>84</v>
      </c>
      <c r="D127" s="2" t="s">
        <v>335</v>
      </c>
      <c r="E127" s="2" t="s">
        <v>51</v>
      </c>
      <c r="F127" s="2" t="s">
        <v>54</v>
      </c>
    </row>
    <row r="128" spans="1:6" x14ac:dyDescent="0.25">
      <c r="A128" s="2" t="s">
        <v>163</v>
      </c>
      <c r="B128" s="2" t="s">
        <v>128</v>
      </c>
      <c r="C128" s="2" t="s">
        <v>84</v>
      </c>
      <c r="D128" s="2" t="s">
        <v>331</v>
      </c>
      <c r="E128" s="2" t="s">
        <v>352</v>
      </c>
      <c r="F128" s="2" t="s">
        <v>51</v>
      </c>
    </row>
    <row r="129" spans="1:6" x14ac:dyDescent="0.25">
      <c r="A129" s="2" t="s">
        <v>145</v>
      </c>
      <c r="B129" s="2" t="s">
        <v>128</v>
      </c>
      <c r="C129" s="2" t="s">
        <v>84</v>
      </c>
      <c r="D129" s="2" t="s">
        <v>357</v>
      </c>
      <c r="E129" s="2" t="s">
        <v>28</v>
      </c>
      <c r="F129" s="2" t="s">
        <v>62</v>
      </c>
    </row>
    <row r="130" spans="1:6" x14ac:dyDescent="0.25">
      <c r="A130" s="2" t="s">
        <v>140</v>
      </c>
      <c r="B130" s="2" t="s">
        <v>128</v>
      </c>
      <c r="C130" s="2" t="s">
        <v>84</v>
      </c>
      <c r="D130" s="2" t="s">
        <v>334</v>
      </c>
      <c r="E130" s="2" t="s">
        <v>53</v>
      </c>
      <c r="F130" s="2" t="s">
        <v>54</v>
      </c>
    </row>
    <row r="131" spans="1:6" x14ac:dyDescent="0.25">
      <c r="A131" s="2" t="s">
        <v>261</v>
      </c>
      <c r="B131" s="2" t="s">
        <v>214</v>
      </c>
      <c r="C131" s="2" t="s">
        <v>84</v>
      </c>
      <c r="D131" s="3" t="s">
        <v>49</v>
      </c>
      <c r="E131" s="2" t="s">
        <v>53</v>
      </c>
      <c r="F131" s="2" t="s">
        <v>54</v>
      </c>
    </row>
    <row r="132" spans="1:6" x14ac:dyDescent="0.25">
      <c r="A132" s="2" t="s">
        <v>188</v>
      </c>
      <c r="B132" s="2" t="s">
        <v>128</v>
      </c>
      <c r="C132" s="2" t="s">
        <v>84</v>
      </c>
      <c r="D132" s="2" t="s">
        <v>353</v>
      </c>
      <c r="E132" s="2" t="s">
        <v>10</v>
      </c>
      <c r="F132" s="2" t="s">
        <v>8</v>
      </c>
    </row>
    <row r="133" spans="1:6" x14ac:dyDescent="0.25">
      <c r="A133" s="2" t="s">
        <v>186</v>
      </c>
      <c r="B133" s="2" t="s">
        <v>128</v>
      </c>
      <c r="C133" s="2" t="s">
        <v>84</v>
      </c>
      <c r="D133" s="2" t="s">
        <v>353</v>
      </c>
      <c r="E133" s="2" t="s">
        <v>53</v>
      </c>
      <c r="F133" s="2" t="s">
        <v>54</v>
      </c>
    </row>
    <row r="134" spans="1:6" x14ac:dyDescent="0.25">
      <c r="A134" s="2" t="s">
        <v>185</v>
      </c>
      <c r="B134" s="2" t="s">
        <v>128</v>
      </c>
      <c r="C134" s="2" t="s">
        <v>84</v>
      </c>
      <c r="D134" s="2" t="s">
        <v>353</v>
      </c>
      <c r="E134" s="2" t="s">
        <v>53</v>
      </c>
      <c r="F134" s="2" t="s">
        <v>5</v>
      </c>
    </row>
    <row r="135" spans="1:6" x14ac:dyDescent="0.25">
      <c r="A135" s="2" t="s">
        <v>101</v>
      </c>
      <c r="B135" s="2" t="s">
        <v>81</v>
      </c>
      <c r="C135" s="2" t="s">
        <v>84</v>
      </c>
      <c r="D135" s="2" t="s">
        <v>29</v>
      </c>
      <c r="E135" s="2" t="s">
        <v>26</v>
      </c>
      <c r="F135" s="2" t="s">
        <v>8</v>
      </c>
    </row>
    <row r="136" spans="1:6" x14ac:dyDescent="0.25">
      <c r="A136" s="2" t="s">
        <v>210</v>
      </c>
      <c r="B136" s="2" t="s">
        <v>128</v>
      </c>
      <c r="C136" s="2" t="s">
        <v>84</v>
      </c>
      <c r="D136" s="2" t="s">
        <v>21</v>
      </c>
      <c r="E136" s="2" t="s">
        <v>54</v>
      </c>
      <c r="F136" s="2" t="s">
        <v>53</v>
      </c>
    </row>
    <row r="137" spans="1:6" x14ac:dyDescent="0.25">
      <c r="A137" s="2" t="s">
        <v>153</v>
      </c>
      <c r="B137" s="2" t="s">
        <v>128</v>
      </c>
      <c r="C137" s="2" t="s">
        <v>84</v>
      </c>
      <c r="D137" s="2" t="s">
        <v>14</v>
      </c>
      <c r="E137" s="2" t="s">
        <v>20</v>
      </c>
      <c r="F137" s="2" t="s">
        <v>16</v>
      </c>
    </row>
    <row r="138" spans="1:6" x14ac:dyDescent="0.25">
      <c r="A138" s="2" t="s">
        <v>215</v>
      </c>
      <c r="B138" s="2" t="s">
        <v>214</v>
      </c>
      <c r="C138" s="2" t="s">
        <v>84</v>
      </c>
      <c r="D138" s="2" t="s">
        <v>30</v>
      </c>
      <c r="E138" s="2" t="s">
        <v>53</v>
      </c>
      <c r="F138" s="2" t="s">
        <v>54</v>
      </c>
    </row>
    <row r="139" spans="1:6" x14ac:dyDescent="0.25">
      <c r="A139" s="2" t="s">
        <v>219</v>
      </c>
      <c r="B139" s="2" t="s">
        <v>214</v>
      </c>
      <c r="C139" s="2" t="s">
        <v>84</v>
      </c>
      <c r="D139" s="2" t="s">
        <v>33</v>
      </c>
      <c r="E139" s="2" t="s">
        <v>53</v>
      </c>
      <c r="F139" s="2" t="s">
        <v>54</v>
      </c>
    </row>
    <row r="140" spans="1:6" x14ac:dyDescent="0.25">
      <c r="A140" s="2" t="s">
        <v>171</v>
      </c>
      <c r="B140" s="2" t="s">
        <v>128</v>
      </c>
      <c r="C140" s="2" t="s">
        <v>84</v>
      </c>
      <c r="D140" s="2" t="s">
        <v>329</v>
      </c>
      <c r="E140" s="2" t="s">
        <v>8</v>
      </c>
      <c r="F140" s="2" t="s">
        <v>29</v>
      </c>
    </row>
    <row r="141" spans="1:6" x14ac:dyDescent="0.25">
      <c r="A141" s="2" t="s">
        <v>83</v>
      </c>
      <c r="B141" s="2" t="s">
        <v>81</v>
      </c>
      <c r="C141" s="2" t="s">
        <v>84</v>
      </c>
      <c r="D141" s="2" t="s">
        <v>8</v>
      </c>
      <c r="E141" s="2" t="s">
        <v>58</v>
      </c>
      <c r="F141" s="2" t="s">
        <v>57</v>
      </c>
    </row>
    <row r="142" spans="1:6" x14ac:dyDescent="0.25">
      <c r="A142" s="2" t="s">
        <v>225</v>
      </c>
      <c r="B142" s="2" t="s">
        <v>214</v>
      </c>
      <c r="C142" s="2" t="s">
        <v>84</v>
      </c>
      <c r="D142" s="2" t="s">
        <v>35</v>
      </c>
      <c r="E142" s="2" t="s">
        <v>53</v>
      </c>
      <c r="F142" s="2" t="s">
        <v>54</v>
      </c>
    </row>
    <row r="143" spans="1:6" x14ac:dyDescent="0.25">
      <c r="A143" s="2" t="s">
        <v>194</v>
      </c>
      <c r="B143" s="2" t="s">
        <v>128</v>
      </c>
      <c r="C143" s="2" t="s">
        <v>84</v>
      </c>
      <c r="D143" s="2" t="s">
        <v>331</v>
      </c>
      <c r="E143" s="2" t="s">
        <v>12</v>
      </c>
      <c r="F143" s="2" t="s">
        <v>54</v>
      </c>
    </row>
    <row r="144" spans="1:6" x14ac:dyDescent="0.25">
      <c r="A144" s="2" t="s">
        <v>245</v>
      </c>
      <c r="B144" s="2" t="s">
        <v>214</v>
      </c>
      <c r="C144" s="2" t="s">
        <v>84</v>
      </c>
      <c r="D144" s="2" t="s">
        <v>54</v>
      </c>
      <c r="E144" s="2" t="s">
        <v>72</v>
      </c>
      <c r="F144" s="2" t="s">
        <v>69</v>
      </c>
    </row>
    <row r="145" spans="1:6" x14ac:dyDescent="0.25">
      <c r="A145" s="2" t="s">
        <v>132</v>
      </c>
      <c r="B145" s="2" t="s">
        <v>128</v>
      </c>
      <c r="C145" s="2" t="s">
        <v>84</v>
      </c>
      <c r="D145" s="2" t="s">
        <v>332</v>
      </c>
      <c r="E145" s="2" t="s">
        <v>47</v>
      </c>
      <c r="F145" s="2" t="s">
        <v>20</v>
      </c>
    </row>
    <row r="146" spans="1:6" x14ac:dyDescent="0.25">
      <c r="A146" s="2" t="s">
        <v>231</v>
      </c>
      <c r="B146" s="2" t="s">
        <v>214</v>
      </c>
      <c r="C146" s="2" t="s">
        <v>84</v>
      </c>
      <c r="D146" s="2" t="s">
        <v>37</v>
      </c>
      <c r="E146" s="2" t="s">
        <v>53</v>
      </c>
      <c r="F146" s="2" t="s">
        <v>54</v>
      </c>
    </row>
    <row r="147" spans="1:6" x14ac:dyDescent="0.25">
      <c r="A147" s="2" t="s">
        <v>89</v>
      </c>
      <c r="B147" s="2" t="s">
        <v>81</v>
      </c>
      <c r="C147" s="2" t="s">
        <v>84</v>
      </c>
      <c r="D147" s="2" t="s">
        <v>12</v>
      </c>
      <c r="E147" s="2" t="s">
        <v>58</v>
      </c>
      <c r="F147" s="2" t="s">
        <v>57</v>
      </c>
    </row>
    <row r="148" spans="1:6" x14ac:dyDescent="0.25">
      <c r="A148" s="2" t="s">
        <v>133</v>
      </c>
      <c r="B148" s="2" t="s">
        <v>128</v>
      </c>
      <c r="C148" s="2" t="s">
        <v>84</v>
      </c>
      <c r="D148" s="2" t="s">
        <v>335</v>
      </c>
      <c r="E148" s="2" t="s">
        <v>53</v>
      </c>
      <c r="F148" s="2" t="s">
        <v>57</v>
      </c>
    </row>
    <row r="149" spans="1:6" x14ac:dyDescent="0.25">
      <c r="A149" s="2" t="s">
        <v>105</v>
      </c>
      <c r="B149" s="2" t="s">
        <v>81</v>
      </c>
      <c r="C149" s="2" t="s">
        <v>84</v>
      </c>
      <c r="D149" s="2" t="s">
        <v>41</v>
      </c>
      <c r="E149" s="2" t="s">
        <v>5</v>
      </c>
      <c r="F149" s="2" t="s">
        <v>69</v>
      </c>
    </row>
    <row r="150" spans="1:6" x14ac:dyDescent="0.25">
      <c r="A150" s="2" t="s">
        <v>239</v>
      </c>
      <c r="B150" s="2" t="s">
        <v>214</v>
      </c>
      <c r="C150" s="2" t="s">
        <v>84</v>
      </c>
      <c r="D150" s="2" t="s">
        <v>43</v>
      </c>
      <c r="E150" s="2" t="s">
        <v>5</v>
      </c>
      <c r="F150" s="2" t="s">
        <v>74</v>
      </c>
    </row>
    <row r="151" spans="1:6" x14ac:dyDescent="0.25">
      <c r="A151" s="2" t="s">
        <v>272</v>
      </c>
      <c r="B151" s="2" t="s">
        <v>214</v>
      </c>
      <c r="C151" s="2" t="s">
        <v>84</v>
      </c>
      <c r="D151" s="2" t="s">
        <v>43</v>
      </c>
      <c r="E151" s="2" t="s">
        <v>53</v>
      </c>
      <c r="F151" s="2" t="s">
        <v>54</v>
      </c>
    </row>
    <row r="152" spans="1:6" x14ac:dyDescent="0.25">
      <c r="A152" s="2" t="s">
        <v>169</v>
      </c>
      <c r="B152" s="2" t="s">
        <v>128</v>
      </c>
      <c r="C152" s="2" t="s">
        <v>84</v>
      </c>
      <c r="D152" s="2" t="s">
        <v>58</v>
      </c>
      <c r="E152" s="2" t="s">
        <v>57</v>
      </c>
      <c r="F152" s="2" t="s">
        <v>5</v>
      </c>
    </row>
    <row r="153" spans="1:6" x14ac:dyDescent="0.25">
      <c r="A153" s="2" t="s">
        <v>95</v>
      </c>
      <c r="B153" s="2" t="s">
        <v>81</v>
      </c>
      <c r="C153" s="2" t="s">
        <v>84</v>
      </c>
      <c r="D153" s="2" t="s">
        <v>17</v>
      </c>
      <c r="E153" s="2" t="s">
        <v>58</v>
      </c>
      <c r="F153" s="2" t="s">
        <v>57</v>
      </c>
    </row>
    <row r="154" spans="1:6" x14ac:dyDescent="0.25">
      <c r="A154" s="2" t="s">
        <v>195</v>
      </c>
      <c r="B154" s="2" t="s">
        <v>128</v>
      </c>
      <c r="C154" s="2" t="s">
        <v>84</v>
      </c>
      <c r="D154" s="2" t="s">
        <v>338</v>
      </c>
      <c r="E154" s="2" t="s">
        <v>65</v>
      </c>
      <c r="F154" s="2" t="s">
        <v>64</v>
      </c>
    </row>
    <row r="155" spans="1:6" x14ac:dyDescent="0.25">
      <c r="A155" s="2" t="s">
        <v>147</v>
      </c>
      <c r="B155" s="2" t="s">
        <v>128</v>
      </c>
      <c r="C155" s="2" t="s">
        <v>84</v>
      </c>
      <c r="D155" s="2" t="s">
        <v>338</v>
      </c>
      <c r="E155" s="2" t="s">
        <v>51</v>
      </c>
      <c r="F155" s="2" t="s">
        <v>352</v>
      </c>
    </row>
    <row r="156" spans="1:6" x14ac:dyDescent="0.25">
      <c r="A156" s="2" t="s">
        <v>263</v>
      </c>
      <c r="B156" s="2" t="s">
        <v>214</v>
      </c>
      <c r="C156" s="2" t="s">
        <v>84</v>
      </c>
      <c r="D156" s="2" t="s">
        <v>65</v>
      </c>
      <c r="E156" s="2" t="s">
        <v>72</v>
      </c>
      <c r="F156" s="2" t="s">
        <v>73</v>
      </c>
    </row>
    <row r="157" spans="1:6" x14ac:dyDescent="0.25">
      <c r="A157" s="2" t="s">
        <v>265</v>
      </c>
      <c r="B157" s="2" t="s">
        <v>214</v>
      </c>
      <c r="C157" s="2" t="s">
        <v>84</v>
      </c>
      <c r="D157" s="2" t="s">
        <v>45</v>
      </c>
      <c r="E157" s="2" t="s">
        <v>53</v>
      </c>
      <c r="F157" s="2" t="s">
        <v>54</v>
      </c>
    </row>
    <row r="158" spans="1:6" x14ac:dyDescent="0.25">
      <c r="A158" s="2" t="s">
        <v>197</v>
      </c>
      <c r="B158" s="2" t="s">
        <v>128</v>
      </c>
      <c r="C158" s="2" t="s">
        <v>84</v>
      </c>
      <c r="D158" s="2" t="s">
        <v>343</v>
      </c>
      <c r="E158" s="2" t="s">
        <v>72</v>
      </c>
      <c r="F158" s="2" t="s">
        <v>47</v>
      </c>
    </row>
    <row r="159" spans="1:6" x14ac:dyDescent="0.25">
      <c r="A159" s="2" t="s">
        <v>178</v>
      </c>
      <c r="B159" s="2" t="s">
        <v>128</v>
      </c>
      <c r="C159" s="2" t="s">
        <v>84</v>
      </c>
      <c r="D159" s="2" t="s">
        <v>5</v>
      </c>
      <c r="E159" s="2" t="s">
        <v>53</v>
      </c>
      <c r="F159" s="2" t="s">
        <v>33</v>
      </c>
    </row>
    <row r="160" spans="1:6" x14ac:dyDescent="0.25">
      <c r="A160" s="2" t="s">
        <v>107</v>
      </c>
      <c r="B160" s="2" t="s">
        <v>81</v>
      </c>
      <c r="C160" s="2" t="s">
        <v>84</v>
      </c>
      <c r="D160" s="2" t="s">
        <v>24</v>
      </c>
      <c r="E160" s="2" t="s">
        <v>58</v>
      </c>
      <c r="F160" s="2" t="s">
        <v>57</v>
      </c>
    </row>
    <row r="161" spans="1:6" x14ac:dyDescent="0.25">
      <c r="A161" s="2" t="s">
        <v>190</v>
      </c>
      <c r="B161" s="2" t="s">
        <v>128</v>
      </c>
      <c r="C161" s="2" t="s">
        <v>84</v>
      </c>
      <c r="D161" s="2" t="s">
        <v>346</v>
      </c>
      <c r="E161" s="2" t="s">
        <v>53</v>
      </c>
      <c r="F161" s="2" t="s">
        <v>54</v>
      </c>
    </row>
    <row r="162" spans="1:6" x14ac:dyDescent="0.25">
      <c r="A162" s="2" t="s">
        <v>113</v>
      </c>
      <c r="B162" s="2" t="s">
        <v>81</v>
      </c>
      <c r="C162" s="2" t="s">
        <v>84</v>
      </c>
      <c r="D162" s="2" t="s">
        <v>25</v>
      </c>
      <c r="E162" s="2" t="s">
        <v>27</v>
      </c>
      <c r="F162" s="2" t="s">
        <v>62</v>
      </c>
    </row>
    <row r="163" spans="1:6" x14ac:dyDescent="0.25">
      <c r="A163" s="2" t="s">
        <v>206</v>
      </c>
      <c r="B163" s="2" t="s">
        <v>128</v>
      </c>
      <c r="C163" s="2" t="s">
        <v>84</v>
      </c>
      <c r="D163" s="2" t="s">
        <v>25</v>
      </c>
      <c r="E163" s="2" t="s">
        <v>10</v>
      </c>
      <c r="F163" s="2" t="s">
        <v>24</v>
      </c>
    </row>
    <row r="164" spans="1:6" x14ac:dyDescent="0.25">
      <c r="A164" s="2" t="s">
        <v>112</v>
      </c>
      <c r="B164" s="2" t="s">
        <v>81</v>
      </c>
      <c r="C164" s="2" t="s">
        <v>84</v>
      </c>
      <c r="D164" s="2" t="s">
        <v>25</v>
      </c>
      <c r="E164" s="2" t="s">
        <v>58</v>
      </c>
      <c r="F164" s="2" t="s">
        <v>57</v>
      </c>
    </row>
    <row r="165" spans="1:6" x14ac:dyDescent="0.25">
      <c r="A165" s="2" t="s">
        <v>114</v>
      </c>
      <c r="B165" s="2" t="s">
        <v>81</v>
      </c>
      <c r="C165" s="2" t="s">
        <v>84</v>
      </c>
      <c r="D165" s="2" t="s">
        <v>26</v>
      </c>
      <c r="E165" s="2" t="s">
        <v>58</v>
      </c>
      <c r="F165" s="2" t="s">
        <v>57</v>
      </c>
    </row>
    <row r="166" spans="1:6" x14ac:dyDescent="0.25">
      <c r="A166" s="2" t="s">
        <v>189</v>
      </c>
      <c r="B166" s="2" t="s">
        <v>128</v>
      </c>
      <c r="C166" s="2" t="s">
        <v>84</v>
      </c>
      <c r="D166" s="2" t="s">
        <v>275</v>
      </c>
      <c r="E166" s="2" t="s">
        <v>28</v>
      </c>
      <c r="F166" s="2" t="s">
        <v>24</v>
      </c>
    </row>
    <row r="167" spans="1:6" x14ac:dyDescent="0.25">
      <c r="A167" s="2" t="s">
        <v>222</v>
      </c>
      <c r="B167" s="2" t="s">
        <v>214</v>
      </c>
      <c r="C167" s="2" t="s">
        <v>84</v>
      </c>
      <c r="D167" s="2" t="s">
        <v>49</v>
      </c>
      <c r="E167" s="2" t="s">
        <v>35</v>
      </c>
      <c r="F167" s="2" t="s">
        <v>45</v>
      </c>
    </row>
    <row r="168" spans="1:6" x14ac:dyDescent="0.25">
      <c r="A168" s="2" t="s">
        <v>181</v>
      </c>
      <c r="B168" s="2" t="s">
        <v>128</v>
      </c>
      <c r="C168" s="2" t="s">
        <v>84</v>
      </c>
      <c r="D168" s="2" t="s">
        <v>51</v>
      </c>
      <c r="E168" s="2" t="s">
        <v>352</v>
      </c>
      <c r="F168" s="2" t="s">
        <v>350</v>
      </c>
    </row>
    <row r="169" spans="1:6" x14ac:dyDescent="0.25">
      <c r="A169" s="2" t="s">
        <v>127</v>
      </c>
      <c r="B169" s="2" t="s">
        <v>128</v>
      </c>
      <c r="C169" s="2" t="s">
        <v>84</v>
      </c>
      <c r="D169" s="2" t="s">
        <v>350</v>
      </c>
      <c r="E169" s="2" t="s">
        <v>72</v>
      </c>
      <c r="F169" s="2" t="s">
        <v>30</v>
      </c>
    </row>
    <row r="170" spans="1:6" x14ac:dyDescent="0.25">
      <c r="A170" s="2" t="s">
        <v>155</v>
      </c>
      <c r="B170" s="2" t="s">
        <v>128</v>
      </c>
      <c r="C170" s="2" t="s">
        <v>84</v>
      </c>
      <c r="D170" s="2" t="s">
        <v>352</v>
      </c>
      <c r="E170" s="2" t="s">
        <v>16</v>
      </c>
      <c r="F170" s="2" t="s">
        <v>51</v>
      </c>
    </row>
    <row r="171" spans="1:6" x14ac:dyDescent="0.25">
      <c r="A171" s="2" t="s">
        <v>216</v>
      </c>
      <c r="B171" s="2" t="s">
        <v>214</v>
      </c>
      <c r="C171" s="2" t="s">
        <v>84</v>
      </c>
      <c r="D171" s="2" t="s">
        <v>74</v>
      </c>
      <c r="E171" s="2" t="s">
        <v>30</v>
      </c>
      <c r="F171" s="2" t="s">
        <v>72</v>
      </c>
    </row>
    <row r="172" spans="1:6" x14ac:dyDescent="0.25">
      <c r="A172" s="2" t="s">
        <v>266</v>
      </c>
      <c r="B172" s="2" t="s">
        <v>214</v>
      </c>
      <c r="C172" s="2" t="s">
        <v>84</v>
      </c>
      <c r="D172" s="2" t="s">
        <v>74</v>
      </c>
      <c r="E172" s="2" t="s">
        <v>47</v>
      </c>
      <c r="F172" s="2" t="s">
        <v>72</v>
      </c>
    </row>
    <row r="173" spans="1:6" x14ac:dyDescent="0.25">
      <c r="A173" s="2" t="s">
        <v>247</v>
      </c>
      <c r="B173" s="2" t="s">
        <v>214</v>
      </c>
      <c r="C173" s="2" t="s">
        <v>84</v>
      </c>
      <c r="D173" s="2" t="s">
        <v>74</v>
      </c>
      <c r="E173" s="2" t="s">
        <v>5</v>
      </c>
      <c r="F173" s="2" t="s">
        <v>72</v>
      </c>
    </row>
    <row r="174" spans="1:6" x14ac:dyDescent="0.25">
      <c r="A174" s="2" t="s">
        <v>257</v>
      </c>
      <c r="B174" s="2" t="s">
        <v>214</v>
      </c>
      <c r="C174" s="2" t="s">
        <v>84</v>
      </c>
      <c r="D174" s="2" t="s">
        <v>74</v>
      </c>
      <c r="E174" s="2" t="s">
        <v>72</v>
      </c>
      <c r="F174" s="2" t="s">
        <v>37</v>
      </c>
    </row>
    <row r="175" spans="1:6" x14ac:dyDescent="0.25">
      <c r="A175" s="2" t="s">
        <v>156</v>
      </c>
      <c r="B175" s="2" t="s">
        <v>128</v>
      </c>
      <c r="C175" s="2" t="s">
        <v>84</v>
      </c>
      <c r="D175" s="2" t="s">
        <v>27</v>
      </c>
      <c r="E175" s="2" t="s">
        <v>57</v>
      </c>
      <c r="F175" s="2" t="s">
        <v>56</v>
      </c>
    </row>
    <row r="176" spans="1:6" x14ac:dyDescent="0.25">
      <c r="A176" s="2" t="s">
        <v>246</v>
      </c>
      <c r="B176" s="2" t="s">
        <v>214</v>
      </c>
      <c r="C176" s="2" t="s">
        <v>84</v>
      </c>
      <c r="D176" s="2" t="s">
        <v>72</v>
      </c>
      <c r="E176" s="2" t="s">
        <v>5</v>
      </c>
      <c r="F176" s="2" t="s">
        <v>69</v>
      </c>
    </row>
    <row r="177" spans="1:6" x14ac:dyDescent="0.25">
      <c r="A177" s="2" t="s">
        <v>235</v>
      </c>
      <c r="B177" s="2" t="s">
        <v>214</v>
      </c>
      <c r="C177" s="2" t="s">
        <v>84</v>
      </c>
      <c r="D177" s="2" t="s">
        <v>72</v>
      </c>
      <c r="E177" s="2" t="s">
        <v>5</v>
      </c>
      <c r="F177" s="2" t="s">
        <v>39</v>
      </c>
    </row>
    <row r="178" spans="1:6" x14ac:dyDescent="0.25">
      <c r="A178" s="2" t="s">
        <v>244</v>
      </c>
      <c r="B178" s="2" t="s">
        <v>214</v>
      </c>
      <c r="C178" s="2" t="s">
        <v>84</v>
      </c>
      <c r="D178" s="2" t="s">
        <v>72</v>
      </c>
      <c r="E178" s="2" t="s">
        <v>5</v>
      </c>
      <c r="F178" s="2" t="s">
        <v>45</v>
      </c>
    </row>
    <row r="179" spans="1:6" x14ac:dyDescent="0.25">
      <c r="A179" s="2" t="s">
        <v>252</v>
      </c>
      <c r="B179" s="2" t="s">
        <v>214</v>
      </c>
      <c r="C179" s="2" t="s">
        <v>84</v>
      </c>
      <c r="D179" s="2" t="s">
        <v>72</v>
      </c>
      <c r="E179" s="2" t="s">
        <v>5</v>
      </c>
      <c r="F179" s="2" t="s">
        <v>66</v>
      </c>
    </row>
    <row r="180" spans="1:6" x14ac:dyDescent="0.25">
      <c r="A180" s="2" t="s">
        <v>260</v>
      </c>
      <c r="B180" s="2" t="s">
        <v>214</v>
      </c>
      <c r="C180" s="2" t="s">
        <v>84</v>
      </c>
      <c r="D180" s="2" t="s">
        <v>72</v>
      </c>
      <c r="E180" s="2" t="s">
        <v>5</v>
      </c>
      <c r="F180" s="2" t="s">
        <v>49</v>
      </c>
    </row>
    <row r="181" spans="1:6" x14ac:dyDescent="0.25">
      <c r="A181" s="2" t="s">
        <v>159</v>
      </c>
      <c r="B181" s="2" t="s">
        <v>128</v>
      </c>
      <c r="C181" s="2" t="s">
        <v>84</v>
      </c>
      <c r="D181" s="2" t="s">
        <v>357</v>
      </c>
      <c r="E181" s="2" t="s">
        <v>64</v>
      </c>
      <c r="F181" s="2" t="s">
        <v>47</v>
      </c>
    </row>
    <row r="182" spans="1:6" x14ac:dyDescent="0.25">
      <c r="A182" s="2" t="s">
        <v>172</v>
      </c>
      <c r="B182" s="2" t="s">
        <v>128</v>
      </c>
      <c r="C182" s="2" t="s">
        <v>84</v>
      </c>
      <c r="D182" s="2" t="s">
        <v>358</v>
      </c>
      <c r="E182" s="2" t="s">
        <v>24</v>
      </c>
      <c r="F182" s="2" t="s">
        <v>5</v>
      </c>
    </row>
    <row r="183" spans="1:6" x14ac:dyDescent="0.25">
      <c r="A183" s="2" t="s">
        <v>175</v>
      </c>
      <c r="B183" s="2" t="s">
        <v>128</v>
      </c>
      <c r="C183" s="2" t="s">
        <v>84</v>
      </c>
      <c r="D183" s="2" t="s">
        <v>28</v>
      </c>
      <c r="E183" s="2" t="s">
        <v>57</v>
      </c>
      <c r="F183" s="2" t="s">
        <v>53</v>
      </c>
    </row>
    <row r="184" spans="1:6" x14ac:dyDescent="0.25">
      <c r="A184" s="2" t="s">
        <v>209</v>
      </c>
      <c r="B184" s="2" t="s">
        <v>128</v>
      </c>
      <c r="C184" s="2" t="s">
        <v>84</v>
      </c>
      <c r="D184" s="2" t="s">
        <v>28</v>
      </c>
      <c r="E184" s="2" t="s">
        <v>53</v>
      </c>
      <c r="F184" s="2" t="s">
        <v>29</v>
      </c>
    </row>
    <row r="185" spans="1:6" x14ac:dyDescent="0.25">
      <c r="A185" s="2" t="s">
        <v>193</v>
      </c>
      <c r="B185" s="2" t="s">
        <v>128</v>
      </c>
      <c r="C185" s="2" t="s">
        <v>84</v>
      </c>
      <c r="D185" s="2" t="s">
        <v>28</v>
      </c>
      <c r="E185" s="2" t="s">
        <v>53</v>
      </c>
      <c r="F185" s="2" t="s">
        <v>12</v>
      </c>
    </row>
    <row r="186" spans="1:6" x14ac:dyDescent="0.25">
      <c r="A186" s="2" t="s">
        <v>213</v>
      </c>
      <c r="B186" s="2" t="s">
        <v>214</v>
      </c>
      <c r="C186" s="2" t="s">
        <v>84</v>
      </c>
      <c r="D186" s="2" t="s">
        <v>53</v>
      </c>
      <c r="E186" s="2" t="s">
        <v>54</v>
      </c>
      <c r="F186" s="2" t="s">
        <v>69</v>
      </c>
    </row>
    <row r="187" spans="1:6" x14ac:dyDescent="0.25">
      <c r="A187" s="2" t="s">
        <v>224</v>
      </c>
      <c r="B187" s="2" t="s">
        <v>214</v>
      </c>
      <c r="C187" s="2" t="s">
        <v>84</v>
      </c>
      <c r="D187" s="2" t="s">
        <v>53</v>
      </c>
      <c r="E187" s="2" t="s">
        <v>72</v>
      </c>
      <c r="F187" s="2" t="s">
        <v>54</v>
      </c>
    </row>
    <row r="188" spans="1:6" x14ac:dyDescent="0.25">
      <c r="A188" s="2" t="s">
        <v>126</v>
      </c>
      <c r="B188" s="2" t="s">
        <v>81</v>
      </c>
      <c r="C188" s="2" t="s">
        <v>84</v>
      </c>
      <c r="D188" s="2" t="s">
        <v>29</v>
      </c>
      <c r="E188" s="2" t="s">
        <v>58</v>
      </c>
      <c r="F188" s="2" t="s">
        <v>57</v>
      </c>
    </row>
  </sheetData>
  <autoFilter ref="A1:H188" xr:uid="{4CD1B176-9E15-4649-B3F6-195AD21132CA}">
    <sortState xmlns:xlrd2="http://schemas.microsoft.com/office/spreadsheetml/2017/richdata2" ref="A2:H188">
      <sortCondition ref="G1:G188"/>
    </sortState>
  </autoFilter>
  <phoneticPr fontId="1" type="noConversion"/>
  <conditionalFormatting sqref="D1:D1048576 E1:H1">
    <cfRule type="containsText" dxfId="0" priority="1" operator="containsText" text="Any">
      <formula>NOT(ISERROR(SEARCH("Any",D1)))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3684CC-3E95-4E59-9311-E610A2DCB3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ingredientsDataset</vt:lpstr>
      <vt:lpstr>fishDataset</vt:lpstr>
      <vt:lpstr>recipesDataset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Lara Lewis</dc:creator>
  <cp:lastModifiedBy>Lara Lewis</cp:lastModifiedBy>
  <dcterms:created xsi:type="dcterms:W3CDTF">2023-10-17T00:54:39Z</dcterms:created>
  <dcterms:modified xsi:type="dcterms:W3CDTF">2023-10-17T21:19:05Z</dcterms:modified>
</cp:coreProperties>
</file>